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UP &amp; INPUTS" sheetId="2" state="visible" r:id="rId2"/>
    <sheet xmlns:r="http://schemas.openxmlformats.org/officeDocument/2006/relationships" name="HOURS LOG" sheetId="3" state="visible" r:id="rId3"/>
    <sheet xmlns:r="http://schemas.openxmlformats.org/officeDocument/2006/relationships" name="HOURS TESTS" sheetId="4" state="visible" r:id="rId4"/>
    <sheet xmlns:r="http://schemas.openxmlformats.org/officeDocument/2006/relationships" name="MILEAGE LOG" sheetId="5" state="visible" r:id="rId5"/>
    <sheet xmlns:r="http://schemas.openxmlformats.org/officeDocument/2006/relationships" name="MILEAGE SUMMARY" sheetId="6" state="visible" r:id="rId6"/>
    <sheet xmlns:r="http://schemas.openxmlformats.org/officeDocument/2006/relationships" name="HOME OFFICE &amp; VEHICLE" sheetId="7" state="visible" r:id="rId7"/>
    <sheet xmlns:r="http://schemas.openxmlformats.org/officeDocument/2006/relationships" name="KIDS &amp; AUGUSTA" sheetId="8" state="visible" r:id="rId8"/>
    <sheet xmlns:r="http://schemas.openxmlformats.org/officeDocument/2006/relationships" name="STRATEGY RULES" sheetId="9" state="visible" r:id="rId9"/>
    <sheet xmlns:r="http://schemas.openxmlformats.org/officeDocument/2006/relationships" name="YEAR-END PACKET" sheetId="10" state="visible" r:id="rId10"/>
  </sheets>
  <definedNames>
    <definedName name="_xlnm.Print_Titles" localSheetId="0">'START HERE'!$1:$2</definedName>
    <definedName name="_xlnm._FilterDatabase" localSheetId="2" hidden="1">'HOURS LOG'!$A$4:$H$207</definedName>
    <definedName name="_xlnm._FilterDatabase" localSheetId="4" hidden="1">'MILEAGE LOG'!$A$4:$K$206</definedName>
  </definedNames>
  <calcPr calcId="124519" fullCalcOnLoad="1"/>
</workbook>
</file>

<file path=xl/styles.xml><?xml version="1.0" encoding="utf-8"?>
<styleSheet xmlns="http://schemas.openxmlformats.org/spreadsheetml/2006/main">
  <numFmts count="5">
    <numFmt numFmtId="164" formatCode="0.000"/>
    <numFmt numFmtId="165" formatCode="yyyy-mm-dd"/>
    <numFmt numFmtId="166" formatCode="0.0"/>
    <numFmt numFmtId="167" formatCode="0.0%"/>
    <numFmt numFmtId="168" formatCode="$#,##0"/>
  </numFmts>
  <fonts count="17">
    <font>
      <name val="Calibri"/>
      <family val="2"/>
      <color theme="1"/>
      <sz val="11"/>
      <scheme val="minor"/>
    </font>
    <font>
      <name val="Calibri"/>
      <b val="1"/>
      <color rgb="00FFFFFF"/>
      <sz val="16"/>
    </font>
    <font>
      <name val="Calibri"/>
      <i val="1"/>
      <color rgb="00404040"/>
      <sz val="10"/>
    </font>
    <font>
      <name val="Calibri"/>
      <b val="1"/>
      <color rgb="001F3864"/>
      <sz val="10"/>
    </font>
    <font>
      <name val="Calibri"/>
      <color rgb="001F1F1F"/>
      <sz val="10"/>
    </font>
    <font>
      <name val="Calibri"/>
      <b val="1"/>
      <color rgb="00FFFFFF"/>
      <sz val="10"/>
    </font>
    <font>
      <name val="Calibri"/>
      <b val="1"/>
      <sz val="10"/>
    </font>
    <font>
      <name val="Calibri"/>
      <b val="1"/>
      <color rgb="000563C1"/>
      <sz val="10"/>
    </font>
    <font>
      <name val="Calibri"/>
      <color rgb="00404040"/>
      <sz val="9"/>
    </font>
    <font>
      <b val="1"/>
      <color rgb="001F3864"/>
    </font>
    <font>
      <b val="1"/>
      <sz val="9"/>
    </font>
    <font>
      <i val="1"/>
      <color rgb="00808080"/>
      <sz val="9"/>
    </font>
    <font>
      <color rgb="00808080"/>
      <sz val="9"/>
    </font>
    <font>
      <b val="1"/>
    </font>
    <font>
      <b val="1"/>
      <color rgb="00FFFFFF"/>
    </font>
    <font>
      <b val="1"/>
      <sz val="10"/>
    </font>
    <font>
      <sz val="9"/>
    </font>
  </fonts>
  <fills count="6">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2F2F2"/>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3"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0" borderId="1" applyAlignment="1" pivotButton="0" quotePrefix="0" xfId="0">
      <alignment horizontal="left" vertical="center" wrapText="1"/>
    </xf>
    <xf numFmtId="164" fontId="7" fillId="4" borderId="1" applyAlignment="1" pivotButton="0" quotePrefix="0" xfId="0">
      <alignment horizontal="center" vertical="center" wrapText="1"/>
    </xf>
    <xf numFmtId="0" fontId="9" fillId="0" borderId="0" pivotButton="0" quotePrefix="0" xfId="0"/>
    <xf numFmtId="0" fontId="8" fillId="0" borderId="1" pivotButton="0" quotePrefix="0" xfId="0"/>
    <xf numFmtId="0" fontId="10" fillId="5" borderId="1" applyAlignment="1" pivotButton="0" quotePrefix="0" xfId="0">
      <alignment horizontal="left"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2" fontId="11" fillId="0" borderId="1" applyAlignment="1" pivotButton="0" quotePrefix="0" xfId="0">
      <alignment horizontal="left" vertical="center" wrapText="1"/>
    </xf>
    <xf numFmtId="0" fontId="12" fillId="0" borderId="1" applyAlignment="1" pivotButton="0" quotePrefix="0" xfId="0">
      <alignment horizontal="center" vertical="center" wrapText="1"/>
    </xf>
    <xf numFmtId="165"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2" fontId="7" fillId="4" borderId="1" applyAlignment="1" pivotButton="0" quotePrefix="0" xfId="0">
      <alignment horizontal="center" vertical="center" wrapText="1"/>
    </xf>
    <xf numFmtId="0" fontId="4" fillId="0" borderId="1" applyAlignment="1" pivotButton="0" quotePrefix="0" xfId="0">
      <alignment horizontal="center" vertical="center" wrapText="1"/>
    </xf>
    <xf numFmtId="2" fontId="13" fillId="0" borderId="1" pivotButton="0" quotePrefix="0" xfId="0"/>
    <xf numFmtId="0" fontId="14" fillId="2" borderId="0" pivotButton="0" quotePrefix="0" xfId="0"/>
    <xf numFmtId="0" fontId="15" fillId="3" borderId="1" applyAlignment="1" pivotButton="0" quotePrefix="0" xfId="0">
      <alignment horizontal="left" vertical="center" wrapText="1"/>
    </xf>
    <xf numFmtId="166" fontId="13"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1" pivotButton="0" quotePrefix="0" xfId="0"/>
    <xf numFmtId="0" fontId="10"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 fontId="7" fillId="4" borderId="1" applyAlignment="1" pivotButton="0" quotePrefix="0" xfId="0">
      <alignment horizontal="center" vertical="center" wrapText="1"/>
    </xf>
    <xf numFmtId="0" fontId="8" fillId="0" borderId="0" applyAlignment="1" pivotButton="0" quotePrefix="0" xfId="0">
      <alignment horizontal="left" vertical="center" wrapText="1"/>
    </xf>
    <xf numFmtId="166" fontId="11" fillId="0" borderId="1" applyAlignment="1" pivotButton="0" quotePrefix="0" xfId="0">
      <alignment horizontal="center" vertical="center" wrapText="1"/>
    </xf>
    <xf numFmtId="166" fontId="7" fillId="4" borderId="1" applyAlignment="1" pivotButton="0" quotePrefix="0" xfId="0">
      <alignment horizontal="center" vertical="center" wrapText="1"/>
    </xf>
    <xf numFmtId="166" fontId="4" fillId="0" borderId="1" applyAlignment="1" pivotButton="0" quotePrefix="0" xfId="0">
      <alignment horizontal="center" vertical="center" wrapText="1"/>
    </xf>
    <xf numFmtId="166" fontId="13" fillId="0" borderId="1" pivotButton="0" quotePrefix="0" xfId="0"/>
    <xf numFmtId="167" fontId="13" fillId="0" borderId="1" applyAlignment="1" pivotButton="0" quotePrefix="0" xfId="0">
      <alignment horizontal="center" vertical="center" wrapText="1"/>
    </xf>
    <xf numFmtId="164" fontId="13" fillId="0" borderId="1" applyAlignment="1" pivotButton="0" quotePrefix="0" xfId="0">
      <alignment horizontal="center" vertical="center" wrapText="1"/>
    </xf>
    <xf numFmtId="168" fontId="13" fillId="0" borderId="1" applyAlignment="1" pivotButton="0" quotePrefix="0" xfId="0">
      <alignment horizontal="center" vertical="center" wrapText="1"/>
    </xf>
    <xf numFmtId="0" fontId="13" fillId="3" borderId="1" applyAlignment="1" pivotButton="0" quotePrefix="0" xfId="0">
      <alignment horizontal="left" vertical="center" wrapText="1"/>
    </xf>
    <xf numFmtId="3" fontId="13" fillId="0" borderId="1" applyAlignment="1" pivotButton="0" quotePrefix="0" xfId="0">
      <alignment horizontal="center" vertical="center" wrapText="1"/>
    </xf>
    <xf numFmtId="0" fontId="13" fillId="5" borderId="1" applyAlignment="1" pivotButton="0" quotePrefix="0" xfId="0">
      <alignment horizontal="left" vertical="center" wrapText="1"/>
    </xf>
    <xf numFmtId="168" fontId="7" fillId="4" borderId="1" applyAlignment="1" pivotButton="0" quotePrefix="0" xfId="0">
      <alignment horizontal="center" vertical="center" wrapText="1"/>
    </xf>
    <xf numFmtId="168" fontId="0" fillId="0" borderId="1" applyAlignment="1" pivotButton="0" quotePrefix="0" xfId="0">
      <alignment horizontal="center" vertical="center" wrapText="1"/>
    </xf>
    <xf numFmtId="0" fontId="9" fillId="0" borderId="1" applyAlignment="1" pivotButton="0" quotePrefix="0" xfId="0">
      <alignment horizontal="left" vertical="center" wrapText="1"/>
    </xf>
    <xf numFmtId="168" fontId="9" fillId="0" borderId="1" applyAlignment="1" pivotButton="0" quotePrefix="0" xfId="0">
      <alignment horizontal="center" vertical="center" wrapText="1"/>
    </xf>
    <xf numFmtId="0" fontId="13" fillId="3" borderId="1" pivotButton="0" quotePrefix="0" xfId="0"/>
    <xf numFmtId="0" fontId="0" fillId="0" borderId="4" pivotButton="0" quotePrefix="0" xfId="0"/>
    <xf numFmtId="0" fontId="0" fillId="0" borderId="5" pivotButton="0" quotePrefix="0" xfId="0"/>
    <xf numFmtId="0" fontId="4" fillId="3" borderId="1" applyAlignment="1" pivotButton="0" quotePrefix="0" xfId="0">
      <alignment horizontal="left" vertical="center" wrapText="1"/>
    </xf>
    <xf numFmtId="0" fontId="10" fillId="3" borderId="1" applyAlignment="1" pivotButton="0" quotePrefix="0" xfId="0">
      <alignment horizontal="left" vertical="center" wrapText="1"/>
    </xf>
    <xf numFmtId="0" fontId="16" fillId="0" borderId="1" applyAlignment="1" pivotButton="0" quotePrefix="0" xfId="0">
      <alignment horizontal="left" vertical="center" wrapText="1"/>
    </xf>
    <xf numFmtId="1" fontId="13" fillId="0" borderId="1" applyAlignment="1" pivotButton="0" quotePrefix="0" xfId="0">
      <alignment horizontal="center" vertical="center" wrapText="1"/>
    </xf>
    <xf numFmtId="0" fontId="0" fillId="2" borderId="0" pivotButton="0" quotePrefix="0" xfId="0"/>
  </cellXfs>
  <cellStyles count="1">
    <cellStyle name="Normal" xfId="0" builtinId="0" hidden="0"/>
  </cellStyles>
  <dxfs count="1">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7"/>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8" customHeight="1">
      <c r="A1" s="1" t="inlineStr">
        <is>
          <t>HOURS + MILEAGE TRACKER  —  Rental Tax Strategies</t>
        </is>
      </c>
    </row>
    <row r="2" ht="30" customHeight="1">
      <c r="A2" s="2" t="inlineStr">
        <is>
          <t>For Jason &amp; Brandy Morgan  •  Built to prove hours, capture every deductible mile, and keep the profit-to-zero / equity / borrow-against-it stack audit-ready. Yellow cells are the only cells you type in.</t>
        </is>
      </c>
    </row>
    <row r="4" ht="22" customHeight="1">
      <c r="A4" s="3" t="inlineStr">
        <is>
          <t>HOW TO USE THIS FILE (5 minutes to set up)</t>
        </is>
      </c>
      <c r="B4" s="4" t="inlineStr"/>
    </row>
    <row r="5" ht="36" customHeight="1">
      <c r="A5" s="5" t="inlineStr">
        <is>
          <t>1. SETUP &amp; INPUTS</t>
        </is>
      </c>
      <c r="B5" s="4" t="inlineStr">
        <is>
          <t>Fill every yellow cell once: names, tax year, other-job hours, home size, property list. Everything else pulls from there.</t>
        </is>
      </c>
    </row>
    <row r="6" ht="36" customHeight="1">
      <c r="A6" s="5" t="inlineStr">
        <is>
          <t>2. HOURS LOG</t>
        </is>
      </c>
      <c r="B6" s="4" t="inlineStr">
        <is>
          <t>Log time the same day you do it. Pick the Category honestly — 'Counts' vs 'Investor-type' is what wins or loses an audit. One row per work session.</t>
        </is>
      </c>
    </row>
    <row r="7" ht="36" customHeight="1">
      <c r="A7" s="5" t="inlineStr">
        <is>
          <t>3. HOURS TESTS</t>
        </is>
      </c>
      <c r="B7" s="4" t="inlineStr">
        <is>
          <t>No typing. This sheet grades Brandy's Real Estate Professional tests (750 hrs + more-than-half) and material-participation (500 hrs / 100-hr) automatically.</t>
        </is>
      </c>
    </row>
    <row r="8" ht="36" customHeight="1">
      <c r="A8" s="5" t="inlineStr">
        <is>
          <t>4. MILEAGE LOG</t>
        </is>
      </c>
      <c r="B8" s="4" t="inlineStr">
        <is>
          <t>You already use MileIQ — export it monthly and paste Date / Purpose / Miles here, or type trips in. Business miles only in the Business column; commuting goes in Personal.</t>
        </is>
      </c>
    </row>
    <row r="9" ht="36" customHeight="1">
      <c r="A9" s="5" t="inlineStr">
        <is>
          <t>5. HOME OFFICE &amp; VEHICLE CALC</t>
        </is>
      </c>
      <c r="B9" s="4" t="inlineStr">
        <is>
          <t>Compares Simplified vs Actual home office, and Standard Mileage vs Actual vehicle, side by side. Pick one method per item per year and stay consistent.</t>
        </is>
      </c>
    </row>
    <row r="10" ht="36" customHeight="1">
      <c r="A10" s="5" t="inlineStr">
        <is>
          <t>6. KIDS &amp; AUGUSTA</t>
        </is>
      </c>
      <c r="B10" s="4" t="inlineStr">
        <is>
          <t>Tracks each child's wages against their standard deduction, and counts Augusta Rule days so you never cross 14.</t>
        </is>
      </c>
    </row>
    <row r="11" ht="36" customHeight="1">
      <c r="A11" s="5" t="inlineStr">
        <is>
          <t>7. STRATEGY RULES</t>
        </is>
      </c>
      <c r="B11" s="4" t="inlineStr">
        <is>
          <t>The full rules list for all 7 strategies + the mortgage-interest myth. Read the 'Evidence to keep' column — that is your audit file.</t>
        </is>
      </c>
    </row>
    <row r="12" ht="36" customHeight="1">
      <c r="A12" s="5" t="inlineStr">
        <is>
          <t>8. YEAR-END PACKET</t>
        </is>
      </c>
      <c r="B12" s="4" t="inlineStr">
        <is>
          <t>Your hand-off checklist for your CPA / tax strategist. Totals flow in automatically; check off the documents as you gather them.</t>
        </is>
      </c>
    </row>
    <row r="13" ht="22" customHeight="1">
      <c r="A13" s="3" t="inlineStr"/>
      <c r="B13" s="4" t="inlineStr"/>
    </row>
    <row r="14" ht="36" customHeight="1">
      <c r="A14" s="5" t="inlineStr">
        <is>
          <t>LEGEND</t>
        </is>
      </c>
      <c r="B14" s="4" t="inlineStr">
        <is>
          <t>Yellow fill + blue text = you type here  •  White/grey = formula, do not overwrite  •  PASS / NEED = live grade from your logs</t>
        </is>
      </c>
    </row>
    <row r="15" ht="36" customHeight="1">
      <c r="A15" s="5" t="inlineStr">
        <is>
          <t>THE STACK THIS SERVES</t>
        </is>
      </c>
      <c r="B15" s="4" t="inlineStr">
        <is>
          <t>1) Drive reported rental profit toward $0 on paper (depreciation, expenses, losses that are actually usable)  2) Build real equity  3) Borrow against the property when you need cash — loan proceeds are not taxable income, and renters retire the note. Every strategy in this file is graded against that stack.</t>
        </is>
      </c>
    </row>
    <row r="16" ht="36" customHeight="1">
      <c r="A16" s="5" t="inlineStr">
        <is>
          <t>IMPORTANT</t>
        </is>
      </c>
      <c r="B16" s="4" t="inlineStr">
        <is>
          <t>Educational tracker only — not tax advice. Tax law changes and your facts control. Confirm elections, grouping, and entity questions with your tax strategist BEFORE year-end; most of these strategies cannot be fixed in April.</t>
        </is>
      </c>
    </row>
    <row r="17" ht="36" customHeight="1">
      <c r="A17" s="5" t="inlineStr">
        <is>
          <t>RATES BAKED IN (edit on SETUP)</t>
        </is>
      </c>
      <c r="B17" s="4" t="inlineStr">
        <is>
          <t>Standard mileage: $0.725/mile for 2026 (IRS Notice 2026-10); $0.70 for 2025. Home office simplified: $5/sq ft, max 300 sq ft = $1,500. Child standard deduction input defaults to $15,750 (2025) — update it yearly on the Kids sheet.</t>
        </is>
      </c>
    </row>
  </sheetData>
  <mergeCells count="30">
    <mergeCell ref="A8"/>
    <mergeCell ref="A17"/>
    <mergeCell ref="A4"/>
    <mergeCell ref="B9:H9"/>
    <mergeCell ref="B6:H6"/>
    <mergeCell ref="A10"/>
    <mergeCell ref="B15:H15"/>
    <mergeCell ref="A1:H1"/>
    <mergeCell ref="A13"/>
    <mergeCell ref="B5:H5"/>
    <mergeCell ref="A9"/>
    <mergeCell ref="B4:H4"/>
    <mergeCell ref="A15"/>
    <mergeCell ref="B16:H16"/>
    <mergeCell ref="B7:H7"/>
    <mergeCell ref="A11"/>
    <mergeCell ref="A6"/>
    <mergeCell ref="A2:H2"/>
    <mergeCell ref="A7"/>
    <mergeCell ref="B12:H12"/>
    <mergeCell ref="A16"/>
    <mergeCell ref="B11:H11"/>
    <mergeCell ref="B8:H8"/>
    <mergeCell ref="B14:H14"/>
    <mergeCell ref="A12"/>
    <mergeCell ref="B17:H17"/>
    <mergeCell ref="B13:H13"/>
    <mergeCell ref="B10:H10"/>
    <mergeCell ref="A14"/>
    <mergeCell ref="A5"/>
  </mergeCell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38" customWidth="1" min="1" max="1"/>
    <col width="24" customWidth="1" min="2" max="2"/>
    <col width="24" customWidth="1" min="3" max="3"/>
    <col width="34" customWidth="1" min="4" max="4"/>
    <col width="24" customWidth="1" min="5" max="5"/>
    <col width="24" customWidth="1" min="6" max="6"/>
  </cols>
  <sheetData>
    <row r="1" ht="28" customHeight="1">
      <c r="A1" s="1" t="inlineStr">
        <is>
          <t>SETUP &amp; INPUTS — fill the yellow cells once</t>
        </is>
      </c>
    </row>
    <row r="2" ht="30" customHeight="1">
      <c r="A2" s="2" t="inlineStr">
        <is>
          <t>Every other sheet reads from here. If a name or property is spelled differently in a log, the totals will miss it — copy these spellings exactly (or use the dropdowns).</t>
        </is>
      </c>
    </row>
    <row r="4">
      <c r="A4" s="6" t="inlineStr">
        <is>
          <t>Item</t>
        </is>
      </c>
      <c r="B4" s="6" t="inlineStr">
        <is>
          <t>Your entry (yellow)</t>
        </is>
      </c>
      <c r="C4" s="6" t="inlineStr">
        <is>
          <t>Notes — read before you type</t>
        </is>
      </c>
      <c r="D4" s="6" t="inlineStr"/>
      <c r="E4" s="6" t="inlineStr"/>
      <c r="F4" s="6" t="inlineStr"/>
    </row>
    <row r="5" ht="34" customHeight="1">
      <c r="A5" s="7" t="inlineStr">
        <is>
          <t>Tax year</t>
        </is>
      </c>
      <c r="B5" s="8" t="n">
        <v>2026</v>
      </c>
      <c r="C5" s="9" t="inlineStr">
        <is>
          <t>Change this and check the mileage rate + standard deduction for that year.</t>
        </is>
      </c>
    </row>
    <row r="6" ht="34" customHeight="1">
      <c r="A6" s="7" t="inlineStr">
        <is>
          <t>Real-estate pro (spouse)</t>
        </is>
      </c>
      <c r="B6" s="8" t="inlineStr">
        <is>
          <t>Brandy Morgan</t>
        </is>
      </c>
      <c r="C6" s="9" t="inlineStr">
        <is>
          <t>The person taking the 750-hr / more-than-half tests. On a joint return, one spouse qualifying unlocks the family's rental losses.</t>
        </is>
      </c>
    </row>
    <row r="7" ht="34" customHeight="1">
      <c r="A7" s="7" t="inlineStr">
        <is>
          <t>Other spouse / partner</t>
        </is>
      </c>
      <c r="B7" s="8" t="inlineStr">
        <is>
          <t>Jason Morgan</t>
        </is>
      </c>
      <c r="C7" s="9" t="inlineStr"/>
    </row>
    <row r="8" ht="34" customHeight="1">
      <c r="A8" s="7" t="inlineStr">
        <is>
          <t>Brandy — hours in ALL other jobs/businesses this year</t>
        </is>
      </c>
      <c r="B8" s="8" t="n">
        <v>0</v>
      </c>
      <c r="C8" s="9" t="inlineStr">
        <is>
          <t>Needed for the more-than-half test. Example: 1,000 hrs at an outside job means she needs MORE than 1,000 real-estate hours. Leave 0 if real estate is her only work.</t>
        </is>
      </c>
    </row>
    <row r="9" ht="34" customHeight="1">
      <c r="A9" s="7" t="inlineStr">
        <is>
          <t>Jason — hours in ALL other jobs/businesses this year</t>
        </is>
      </c>
      <c r="B9" s="8" t="n">
        <v>0</v>
      </c>
      <c r="C9" s="9" t="inlineStr">
        <is>
          <t>Same test, for Jason if he ever takes it.</t>
        </is>
      </c>
    </row>
    <row r="10" ht="34" customHeight="1">
      <c r="A10" s="7" t="inlineStr">
        <is>
          <t>IRS standard mileage rate ($/mile)</t>
        </is>
      </c>
      <c r="B10" s="10" t="n">
        <v>0.725</v>
      </c>
      <c r="C10" s="9" t="inlineStr">
        <is>
          <t>2026: $0.725 (Notice 2026-10). 2025: $0.70. Update when IRS announces a new rate.</t>
        </is>
      </c>
    </row>
    <row r="11" ht="34" customHeight="1">
      <c r="A11" s="7" t="inlineStr">
        <is>
          <t>Home — total living area (sq ft)</t>
        </is>
      </c>
      <c r="B11" s="8" t="n">
        <v>2000</v>
      </c>
      <c r="C11" s="9" t="inlineStr">
        <is>
          <t>For home-office %. Measure once; keep a sketch/photo in your tax file.</t>
        </is>
      </c>
    </row>
    <row r="12" ht="34" customHeight="1">
      <c r="A12" s="7" t="inlineStr">
        <is>
          <t>Home office — exclusive business area (sq ft)</t>
        </is>
      </c>
      <c r="B12" s="8" t="n">
        <v>150</v>
      </c>
      <c r="C12" s="9" t="inlineStr">
        <is>
          <t>Must be used exclusively + regularly for the business to qualify. Simplified method caps at 300 sq ft.</t>
        </is>
      </c>
    </row>
    <row r="13" ht="34" customHeight="1">
      <c r="A13" s="7" t="inlineStr">
        <is>
          <t>Grouping election made? (Yes/No)</t>
        </is>
      </c>
      <c r="B13" s="8" t="inlineStr">
        <is>
          <t>No</t>
        </is>
      </c>
      <c r="C13" s="9" t="inlineStr">
        <is>
          <t>Electing to treat all rental properties as ONE activity can make material participation reachable. Must be a formal election — ask your strategist before filing.</t>
        </is>
      </c>
    </row>
    <row r="14" ht="34" customHeight="1">
      <c r="A14" s="7" t="inlineStr">
        <is>
          <t>Business entity type</t>
        </is>
      </c>
      <c r="B14" s="8" t="inlineStr">
        <is>
          <t>Sole prop / single-member LLC</t>
        </is>
      </c>
      <c r="C14" s="9" t="inlineStr">
        <is>
          <t>Matters for hiring kids (FICA exemption) and Augusta Rule (needs a separate entity). Options in next column notes.</t>
        </is>
      </c>
    </row>
    <row r="16">
      <c r="A16" s="11" t="inlineStr">
        <is>
          <t>YOUR PROPERTIES — type the exact names you will use in the logs</t>
        </is>
      </c>
    </row>
    <row r="17">
      <c r="A17" s="6" t="inlineStr">
        <is>
          <t>Property name (yellow)</t>
        </is>
      </c>
      <c r="B17" s="6" t="inlineStr">
        <is>
          <t>Type (Long-term / Short-term / House-hack unit)</t>
        </is>
      </c>
      <c r="C17" s="6" t="inlineStr">
        <is>
          <t>Notes</t>
        </is>
      </c>
    </row>
    <row r="18">
      <c r="A18" s="8" t="inlineStr">
        <is>
          <t>308 Paula</t>
        </is>
      </c>
      <c r="B18" s="8" t="inlineStr">
        <is>
          <t>Long-term</t>
        </is>
      </c>
      <c r="C18" s="12" t="n"/>
    </row>
    <row r="19">
      <c r="A19" s="8" t="inlineStr">
        <is>
          <t>4800 Kent Ave, Groves TX</t>
        </is>
      </c>
      <c r="B19" s="8" t="inlineStr">
        <is>
          <t>Long-term</t>
        </is>
      </c>
      <c r="C19" s="12" t="n"/>
    </row>
    <row r="20">
      <c r="A20" s="8" t="inlineStr">
        <is>
          <t>Property 3</t>
        </is>
      </c>
      <c r="B20" s="8" t="inlineStr"/>
      <c r="C20" s="12" t="n"/>
    </row>
    <row r="21">
      <c r="A21" s="8" t="inlineStr">
        <is>
          <t>Property 4</t>
        </is>
      </c>
      <c r="B21" s="8" t="inlineStr"/>
      <c r="C21" s="12" t="n"/>
    </row>
    <row r="22">
      <c r="A22" s="8" t="inlineStr">
        <is>
          <t>Property 5</t>
        </is>
      </c>
      <c r="B22" s="8" t="inlineStr"/>
      <c r="C22" s="12" t="n"/>
    </row>
    <row r="23">
      <c r="A23" s="8" t="inlineStr">
        <is>
          <t>Property 6</t>
        </is>
      </c>
      <c r="B23" s="8" t="inlineStr"/>
      <c r="C23" s="12" t="n"/>
    </row>
    <row r="25">
      <c r="A25" s="11" t="inlineStr">
        <is>
          <t>Activity categories for the Hours Log (do not rename — formulas look for these words):</t>
        </is>
      </c>
    </row>
    <row r="26" ht="40" customHeight="1">
      <c r="A26" s="13" t="inlineStr">
        <is>
          <t>Counts - operational</t>
        </is>
      </c>
      <c r="B26" s="9" t="inlineStr">
        <is>
          <t>Day-to-day running of the rental: tenant calls, showings, leasing, repairs coordination, cleaning oversight, bookkeeping for operations, travel to the property. COUNTS toward REPS + material participation.</t>
        </is>
      </c>
    </row>
    <row r="27" ht="40" customHeight="1">
      <c r="A27" s="13" t="inlineStr">
        <is>
          <t>Investor-type</t>
        </is>
      </c>
      <c r="B27" s="9" t="inlineStr">
        <is>
          <t>Reviewing statements, reading market reports, studying new deals, talking to your CPA about planning. Real work, but the IRS does NOT count investor-type hours toward material participation unless you are directly involved in day-to-day operations. Log it, but do not rely on it.</t>
        </is>
      </c>
    </row>
    <row r="28" ht="40" customHeight="1">
      <c r="A28" s="13" t="inlineStr">
        <is>
          <t>Personal - does not count</t>
        </is>
      </c>
      <c r="B28" s="9" t="inlineStr">
        <is>
          <t>Personal time at a house-hack home, commuting, family time. Never counts. Logging it honestly protects the credibility of the whole log.</t>
        </is>
      </c>
    </row>
  </sheetData>
  <mergeCells count="15">
    <mergeCell ref="C13:F13"/>
    <mergeCell ref="A2:F2"/>
    <mergeCell ref="C9:F9"/>
    <mergeCell ref="C8:F8"/>
    <mergeCell ref="A1:F1"/>
    <mergeCell ref="C12:F12"/>
    <mergeCell ref="B28:F28"/>
    <mergeCell ref="C6:F6"/>
    <mergeCell ref="C7:F7"/>
    <mergeCell ref="C11:F11"/>
    <mergeCell ref="C10:F10"/>
    <mergeCell ref="C5:F5"/>
    <mergeCell ref="B26:F26"/>
    <mergeCell ref="B27:F27"/>
    <mergeCell ref="C14:F14"/>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H208"/>
  <sheetViews>
    <sheetView workbookViewId="0">
      <pane ySplit="4" topLeftCell="A5" activePane="bottomLeft" state="frozen"/>
      <selection pane="bottomLeft" activeCell="A1" sqref="A1"/>
    </sheetView>
  </sheetViews>
  <sheetFormatPr baseColWidth="8" defaultRowHeight="15"/>
  <cols>
    <col width="13" customWidth="1" min="1" max="1"/>
    <col width="18" customWidth="1" min="2" max="2"/>
    <col width="24" customWidth="1" min="3" max="3"/>
    <col width="30" customWidth="1" min="4" max="4"/>
    <col width="24" customWidth="1" min="5" max="5"/>
    <col width="10" customWidth="1" min="6" max="6"/>
    <col width="42" customWidth="1" min="7" max="7"/>
    <col width="12" customWidth="1" min="8" max="8"/>
  </cols>
  <sheetData>
    <row r="1" ht="28" customHeight="1">
      <c r="A1" s="1" t="inlineStr">
        <is>
          <t>HOURS LOG — log it the same day</t>
        </is>
      </c>
    </row>
    <row r="2" ht="30" customHeight="1">
      <c r="A2" s="2" t="inlineStr">
        <is>
          <t>One row per work session. Contemporaneous logs win audits; rebuilt-at-tax-time logs lose them. Keep texts, calendars and invoices that back up each row.</t>
        </is>
      </c>
    </row>
    <row r="4">
      <c r="A4" s="6" t="inlineStr">
        <is>
          <t>Date</t>
        </is>
      </c>
      <c r="B4" s="6" t="inlineStr">
        <is>
          <t>Person</t>
        </is>
      </c>
      <c r="C4" s="6" t="inlineStr">
        <is>
          <t>Property / Unit</t>
        </is>
      </c>
      <c r="D4" s="6" t="inlineStr">
        <is>
          <t>What you did (be specific)</t>
        </is>
      </c>
      <c r="E4" s="6" t="inlineStr">
        <is>
          <t>Category</t>
        </is>
      </c>
      <c r="F4" s="6" t="inlineStr">
        <is>
          <t>Hours</t>
        </is>
      </c>
      <c r="G4" s="6" t="inlineStr">
        <is>
          <t>Evidence (calendar / text / invoice / photo)</t>
        </is>
      </c>
      <c r="H4" s="6" t="inlineStr">
        <is>
          <t>Month</t>
        </is>
      </c>
    </row>
    <row r="5" ht="30" customHeight="1">
      <c r="A5" s="14" t="inlineStr">
        <is>
          <t>2026-01-05</t>
        </is>
      </c>
      <c r="B5" s="14" t="inlineStr">
        <is>
          <t>Brandy Morgan</t>
        </is>
      </c>
      <c r="C5" s="14" t="inlineStr">
        <is>
          <t>308 Paula</t>
        </is>
      </c>
      <c r="D5" s="15" t="inlineStr">
        <is>
          <t>Called plumber, met him at unit, approved repair quote, paid invoice</t>
        </is>
      </c>
      <c r="E5" s="15" t="inlineStr">
        <is>
          <t>Counts - operational</t>
        </is>
      </c>
      <c r="F5" s="16" t="n">
        <v>2.5</v>
      </c>
      <c r="G5" s="15" t="inlineStr">
        <is>
          <t>Calendar invite + plumber invoice #___</t>
        </is>
      </c>
      <c r="H5" s="17" t="str">
        <f>IF(A5="","",TEXT(A5,"YYYY-MM"))</f>
        <v>2026-01</v>
      </c>
    </row>
    <row r="6" ht="30" customHeight="1">
      <c r="A6" s="14" t="inlineStr">
        <is>
          <t>2026-01-06</t>
        </is>
      </c>
      <c r="B6" s="14" t="inlineStr">
        <is>
          <t>Brandy Morgan</t>
        </is>
      </c>
      <c r="C6" s="14" t="inlineStr">
        <is>
          <t>308 Paula</t>
        </is>
      </c>
      <c r="D6" s="15" t="inlineStr">
        <is>
          <t>Reviewed monthly bank statement and rent roll</t>
        </is>
      </c>
      <c r="E6" s="15" t="inlineStr">
        <is>
          <t>Investor-type</t>
        </is>
      </c>
      <c r="F6" s="16" t="n">
        <v>0.75</v>
      </c>
      <c r="G6" s="15" t="inlineStr">
        <is>
          <t>Bank statement (investor-type — does not count toward participation)</t>
        </is>
      </c>
      <c r="H6" s="17" t="str">
        <f>IF(A6="","",TEXT(A6,"YYYY-MM"))</f>
        <v>2026-01</v>
      </c>
    </row>
    <row r="7" ht="30" customHeight="1">
      <c r="A7" s="14" t="inlineStr">
        <is>
          <t>2026-01-07</t>
        </is>
      </c>
      <c r="B7" s="14" t="inlineStr">
        <is>
          <t>Brandy Morgan</t>
        </is>
      </c>
      <c r="C7" s="14" t="inlineStr">
        <is>
          <t>4800 Kent Ave, Groves TX</t>
        </is>
      </c>
      <c r="D7" s="15" t="inlineStr">
        <is>
          <t>Showed unit to 2 applicants, ran applications, called references</t>
        </is>
      </c>
      <c r="E7" s="15" t="inlineStr">
        <is>
          <t>Counts - operational</t>
        </is>
      </c>
      <c r="F7" s="16" t="n">
        <v>3</v>
      </c>
      <c r="G7" s="15" t="inlineStr">
        <is>
          <t>Showing calendar + application emails</t>
        </is>
      </c>
      <c r="H7" s="17" t="str">
        <f>IF(A7="","",TEXT(A7,"YYYY-MM"))</f>
        <v>2026-01</v>
      </c>
    </row>
    <row r="8">
      <c r="A8" s="18" t="n"/>
      <c r="B8" s="8" t="n"/>
      <c r="C8" s="8" t="n"/>
      <c r="D8" s="19" t="n"/>
      <c r="E8" s="8" t="n"/>
      <c r="F8" s="20" t="n"/>
      <c r="G8" s="19" t="n"/>
      <c r="H8" s="21" t="str">
        <f>IF(A8="","",TEXT(A8,"YYYY-MM"))</f>
        <v/>
      </c>
    </row>
    <row r="9">
      <c r="A9" s="18" t="n"/>
      <c r="B9" s="8" t="n"/>
      <c r="C9" s="8" t="n"/>
      <c r="D9" s="19" t="n"/>
      <c r="E9" s="8" t="n"/>
      <c r="F9" s="20" t="n"/>
      <c r="G9" s="19" t="n"/>
      <c r="H9" s="21" t="str">
        <f>IF(A9="","",TEXT(A9,"YYYY-MM"))</f>
        <v/>
      </c>
    </row>
    <row r="10">
      <c r="A10" s="18" t="n"/>
      <c r="B10" s="8" t="n"/>
      <c r="C10" s="8" t="n"/>
      <c r="D10" s="19" t="n"/>
      <c r="E10" s="8" t="n"/>
      <c r="F10" s="20" t="n"/>
      <c r="G10" s="19" t="n"/>
      <c r="H10" s="21" t="str">
        <f>IF(A10="","",TEXT(A10,"YYYY-MM"))</f>
        <v/>
      </c>
    </row>
    <row r="11">
      <c r="A11" s="18" t="n"/>
      <c r="B11" s="8" t="n"/>
      <c r="C11" s="8" t="n"/>
      <c r="D11" s="19" t="n"/>
      <c r="E11" s="8" t="n"/>
      <c r="F11" s="20" t="n"/>
      <c r="G11" s="19" t="n"/>
      <c r="H11" s="21" t="str">
        <f>IF(A11="","",TEXT(A11,"YYYY-MM"))</f>
        <v/>
      </c>
    </row>
    <row r="12">
      <c r="A12" s="18" t="n"/>
      <c r="B12" s="8" t="n"/>
      <c r="C12" s="8" t="n"/>
      <c r="D12" s="19" t="n"/>
      <c r="E12" s="8" t="n"/>
      <c r="F12" s="20" t="n"/>
      <c r="G12" s="19" t="n"/>
      <c r="H12" s="21" t="str">
        <f>IF(A12="","",TEXT(A12,"YYYY-MM"))</f>
        <v/>
      </c>
    </row>
    <row r="13">
      <c r="A13" s="18" t="n"/>
      <c r="B13" s="8" t="n"/>
      <c r="C13" s="8" t="n"/>
      <c r="D13" s="19" t="n"/>
      <c r="E13" s="8" t="n"/>
      <c r="F13" s="20" t="n"/>
      <c r="G13" s="19" t="n"/>
      <c r="H13" s="21" t="str">
        <f>IF(A13="","",TEXT(A13,"YYYY-MM"))</f>
        <v/>
      </c>
    </row>
    <row r="14">
      <c r="A14" s="18" t="n"/>
      <c r="B14" s="8" t="n"/>
      <c r="C14" s="8" t="n"/>
      <c r="D14" s="19" t="n"/>
      <c r="E14" s="8" t="n"/>
      <c r="F14" s="20" t="n"/>
      <c r="G14" s="19" t="n"/>
      <c r="H14" s="21" t="str">
        <f>IF(A14="","",TEXT(A14,"YYYY-MM"))</f>
        <v/>
      </c>
    </row>
    <row r="15">
      <c r="A15" s="18" t="n"/>
      <c r="B15" s="8" t="n"/>
      <c r="C15" s="8" t="n"/>
      <c r="D15" s="19" t="n"/>
      <c r="E15" s="8" t="n"/>
      <c r="F15" s="20" t="n"/>
      <c r="G15" s="19" t="n"/>
      <c r="H15" s="21" t="str">
        <f>IF(A15="","",TEXT(A15,"YYYY-MM"))</f>
        <v/>
      </c>
    </row>
    <row r="16">
      <c r="A16" s="18" t="n"/>
      <c r="B16" s="8" t="n"/>
      <c r="C16" s="8" t="n"/>
      <c r="D16" s="19" t="n"/>
      <c r="E16" s="8" t="n"/>
      <c r="F16" s="20" t="n"/>
      <c r="G16" s="19" t="n"/>
      <c r="H16" s="21" t="str">
        <f>IF(A16="","",TEXT(A16,"YYYY-MM"))</f>
        <v/>
      </c>
    </row>
    <row r="17">
      <c r="A17" s="18" t="n"/>
      <c r="B17" s="8" t="n"/>
      <c r="C17" s="8" t="n"/>
      <c r="D17" s="19" t="n"/>
      <c r="E17" s="8" t="n"/>
      <c r="F17" s="20" t="n"/>
      <c r="G17" s="19" t="n"/>
      <c r="H17" s="21" t="str">
        <f>IF(A17="","",TEXT(A17,"YYYY-MM"))</f>
        <v/>
      </c>
    </row>
    <row r="18">
      <c r="A18" s="18" t="n"/>
      <c r="B18" s="8" t="n"/>
      <c r="C18" s="8" t="n"/>
      <c r="D18" s="19" t="n"/>
      <c r="E18" s="8" t="n"/>
      <c r="F18" s="20" t="n"/>
      <c r="G18" s="19" t="n"/>
      <c r="H18" s="21" t="str">
        <f>IF(A18="","",TEXT(A18,"YYYY-MM"))</f>
        <v/>
      </c>
    </row>
    <row r="19">
      <c r="A19" s="18" t="n"/>
      <c r="B19" s="8" t="n"/>
      <c r="C19" s="8" t="n"/>
      <c r="D19" s="19" t="n"/>
      <c r="E19" s="8" t="n"/>
      <c r="F19" s="20" t="n"/>
      <c r="G19" s="19" t="n"/>
      <c r="H19" s="21" t="str">
        <f>IF(A19="","",TEXT(A19,"YYYY-MM"))</f>
        <v/>
      </c>
    </row>
    <row r="20">
      <c r="A20" s="18" t="n"/>
      <c r="B20" s="8" t="n"/>
      <c r="C20" s="8" t="n"/>
      <c r="D20" s="19" t="n"/>
      <c r="E20" s="8" t="n"/>
      <c r="F20" s="20" t="n"/>
      <c r="G20" s="19" t="n"/>
      <c r="H20" s="21" t="str">
        <f>IF(A20="","",TEXT(A20,"YYYY-MM"))</f>
        <v/>
      </c>
    </row>
    <row r="21">
      <c r="A21" s="18" t="n"/>
      <c r="B21" s="8" t="n"/>
      <c r="C21" s="8" t="n"/>
      <c r="D21" s="19" t="n"/>
      <c r="E21" s="8" t="n"/>
      <c r="F21" s="20" t="n"/>
      <c r="G21" s="19" t="n"/>
      <c r="H21" s="21" t="str">
        <f>IF(A21="","",TEXT(A21,"YYYY-MM"))</f>
        <v/>
      </c>
    </row>
    <row r="22">
      <c r="A22" s="18" t="n"/>
      <c r="B22" s="8" t="n"/>
      <c r="C22" s="8" t="n"/>
      <c r="D22" s="19" t="n"/>
      <c r="E22" s="8" t="n"/>
      <c r="F22" s="20" t="n"/>
      <c r="G22" s="19" t="n"/>
      <c r="H22" s="21" t="str">
        <f>IF(A22="","",TEXT(A22,"YYYY-MM"))</f>
        <v/>
      </c>
    </row>
    <row r="23">
      <c r="A23" s="18" t="n"/>
      <c r="B23" s="8" t="n"/>
      <c r="C23" s="8" t="n"/>
      <c r="D23" s="19" t="n"/>
      <c r="E23" s="8" t="n"/>
      <c r="F23" s="20" t="n"/>
      <c r="G23" s="19" t="n"/>
      <c r="H23" s="21" t="str">
        <f>IF(A23="","",TEXT(A23,"YYYY-MM"))</f>
        <v/>
      </c>
    </row>
    <row r="24">
      <c r="A24" s="18" t="n"/>
      <c r="B24" s="8" t="n"/>
      <c r="C24" s="8" t="n"/>
      <c r="D24" s="19" t="n"/>
      <c r="E24" s="8" t="n"/>
      <c r="F24" s="20" t="n"/>
      <c r="G24" s="19" t="n"/>
      <c r="H24" s="21" t="str">
        <f>IF(A24="","",TEXT(A24,"YYYY-MM"))</f>
        <v/>
      </c>
    </row>
    <row r="25">
      <c r="A25" s="18" t="n"/>
      <c r="B25" s="8" t="n"/>
      <c r="C25" s="8" t="n"/>
      <c r="D25" s="19" t="n"/>
      <c r="E25" s="8" t="n"/>
      <c r="F25" s="20" t="n"/>
      <c r="G25" s="19" t="n"/>
      <c r="H25" s="21" t="str">
        <f>IF(A25="","",TEXT(A25,"YYYY-MM"))</f>
        <v/>
      </c>
    </row>
    <row r="26">
      <c r="A26" s="18" t="n"/>
      <c r="B26" s="8" t="n"/>
      <c r="C26" s="8" t="n"/>
      <c r="D26" s="19" t="n"/>
      <c r="E26" s="8" t="n"/>
      <c r="F26" s="20" t="n"/>
      <c r="G26" s="19" t="n"/>
      <c r="H26" s="21" t="str">
        <f>IF(A26="","",TEXT(A26,"YYYY-MM"))</f>
        <v/>
      </c>
    </row>
    <row r="27">
      <c r="A27" s="18" t="n"/>
      <c r="B27" s="8" t="n"/>
      <c r="C27" s="8" t="n"/>
      <c r="D27" s="19" t="n"/>
      <c r="E27" s="8" t="n"/>
      <c r="F27" s="20" t="n"/>
      <c r="G27" s="19" t="n"/>
      <c r="H27" s="21" t="str">
        <f>IF(A27="","",TEXT(A27,"YYYY-MM"))</f>
        <v/>
      </c>
    </row>
    <row r="28">
      <c r="A28" s="18" t="n"/>
      <c r="B28" s="8" t="n"/>
      <c r="C28" s="8" t="n"/>
      <c r="D28" s="19" t="n"/>
      <c r="E28" s="8" t="n"/>
      <c r="F28" s="20" t="n"/>
      <c r="G28" s="19" t="n"/>
      <c r="H28" s="21" t="str">
        <f>IF(A28="","",TEXT(A28,"YYYY-MM"))</f>
        <v/>
      </c>
    </row>
    <row r="29">
      <c r="A29" s="18" t="n"/>
      <c r="B29" s="8" t="n"/>
      <c r="C29" s="8" t="n"/>
      <c r="D29" s="19" t="n"/>
      <c r="E29" s="8" t="n"/>
      <c r="F29" s="20" t="n"/>
      <c r="G29" s="19" t="n"/>
      <c r="H29" s="21" t="str">
        <f>IF(A29="","",TEXT(A29,"YYYY-MM"))</f>
        <v/>
      </c>
    </row>
    <row r="30">
      <c r="A30" s="18" t="n"/>
      <c r="B30" s="8" t="n"/>
      <c r="C30" s="8" t="n"/>
      <c r="D30" s="19" t="n"/>
      <c r="E30" s="8" t="n"/>
      <c r="F30" s="20" t="n"/>
      <c r="G30" s="19" t="n"/>
      <c r="H30" s="21" t="str">
        <f>IF(A30="","",TEXT(A30,"YYYY-MM"))</f>
        <v/>
      </c>
    </row>
    <row r="31">
      <c r="A31" s="18" t="n"/>
      <c r="B31" s="8" t="n"/>
      <c r="C31" s="8" t="n"/>
      <c r="D31" s="19" t="n"/>
      <c r="E31" s="8" t="n"/>
      <c r="F31" s="20" t="n"/>
      <c r="G31" s="19" t="n"/>
      <c r="H31" s="21" t="str">
        <f>IF(A31="","",TEXT(A31,"YYYY-MM"))</f>
        <v/>
      </c>
    </row>
    <row r="32">
      <c r="A32" s="18" t="n"/>
      <c r="B32" s="8" t="n"/>
      <c r="C32" s="8" t="n"/>
      <c r="D32" s="19" t="n"/>
      <c r="E32" s="8" t="n"/>
      <c r="F32" s="20" t="n"/>
      <c r="G32" s="19" t="n"/>
      <c r="H32" s="21" t="str">
        <f>IF(A32="","",TEXT(A32,"YYYY-MM"))</f>
        <v/>
      </c>
    </row>
    <row r="33">
      <c r="A33" s="18" t="n"/>
      <c r="B33" s="8" t="n"/>
      <c r="C33" s="8" t="n"/>
      <c r="D33" s="19" t="n"/>
      <c r="E33" s="8" t="n"/>
      <c r="F33" s="20" t="n"/>
      <c r="G33" s="19" t="n"/>
      <c r="H33" s="21" t="str">
        <f>IF(A33="","",TEXT(A33,"YYYY-MM"))</f>
        <v/>
      </c>
    </row>
    <row r="34">
      <c r="A34" s="18" t="n"/>
      <c r="B34" s="8" t="n"/>
      <c r="C34" s="8" t="n"/>
      <c r="D34" s="19" t="n"/>
      <c r="E34" s="8" t="n"/>
      <c r="F34" s="20" t="n"/>
      <c r="G34" s="19" t="n"/>
      <c r="H34" s="21" t="str">
        <f>IF(A34="","",TEXT(A34,"YYYY-MM"))</f>
        <v/>
      </c>
    </row>
    <row r="35">
      <c r="A35" s="18" t="n"/>
      <c r="B35" s="8" t="n"/>
      <c r="C35" s="8" t="n"/>
      <c r="D35" s="19" t="n"/>
      <c r="E35" s="8" t="n"/>
      <c r="F35" s="20" t="n"/>
      <c r="G35" s="19" t="n"/>
      <c r="H35" s="21" t="str">
        <f>IF(A35="","",TEXT(A35,"YYYY-MM"))</f>
        <v/>
      </c>
    </row>
    <row r="36">
      <c r="A36" s="18" t="n"/>
      <c r="B36" s="8" t="n"/>
      <c r="C36" s="8" t="n"/>
      <c r="D36" s="19" t="n"/>
      <c r="E36" s="8" t="n"/>
      <c r="F36" s="20" t="n"/>
      <c r="G36" s="19" t="n"/>
      <c r="H36" s="21" t="str">
        <f>IF(A36="","",TEXT(A36,"YYYY-MM"))</f>
        <v/>
      </c>
    </row>
    <row r="37">
      <c r="A37" s="18" t="n"/>
      <c r="B37" s="8" t="n"/>
      <c r="C37" s="8" t="n"/>
      <c r="D37" s="19" t="n"/>
      <c r="E37" s="8" t="n"/>
      <c r="F37" s="20" t="n"/>
      <c r="G37" s="19" t="n"/>
      <c r="H37" s="21" t="str">
        <f>IF(A37="","",TEXT(A37,"YYYY-MM"))</f>
        <v/>
      </c>
    </row>
    <row r="38">
      <c r="A38" s="18" t="n"/>
      <c r="B38" s="8" t="n"/>
      <c r="C38" s="8" t="n"/>
      <c r="D38" s="19" t="n"/>
      <c r="E38" s="8" t="n"/>
      <c r="F38" s="20" t="n"/>
      <c r="G38" s="19" t="n"/>
      <c r="H38" s="21" t="str">
        <f>IF(A38="","",TEXT(A38,"YYYY-MM"))</f>
        <v/>
      </c>
    </row>
    <row r="39">
      <c r="A39" s="18" t="n"/>
      <c r="B39" s="8" t="n"/>
      <c r="C39" s="8" t="n"/>
      <c r="D39" s="19" t="n"/>
      <c r="E39" s="8" t="n"/>
      <c r="F39" s="20" t="n"/>
      <c r="G39" s="19" t="n"/>
      <c r="H39" s="21" t="str">
        <f>IF(A39="","",TEXT(A39,"YYYY-MM"))</f>
        <v/>
      </c>
    </row>
    <row r="40">
      <c r="A40" s="18" t="n"/>
      <c r="B40" s="8" t="n"/>
      <c r="C40" s="8" t="n"/>
      <c r="D40" s="19" t="n"/>
      <c r="E40" s="8" t="n"/>
      <c r="F40" s="20" t="n"/>
      <c r="G40" s="19" t="n"/>
      <c r="H40" s="21" t="str">
        <f>IF(A40="","",TEXT(A40,"YYYY-MM"))</f>
        <v/>
      </c>
    </row>
    <row r="41">
      <c r="A41" s="18" t="n"/>
      <c r="B41" s="8" t="n"/>
      <c r="C41" s="8" t="n"/>
      <c r="D41" s="19" t="n"/>
      <c r="E41" s="8" t="n"/>
      <c r="F41" s="20" t="n"/>
      <c r="G41" s="19" t="n"/>
      <c r="H41" s="21" t="str">
        <f>IF(A41="","",TEXT(A41,"YYYY-MM"))</f>
        <v/>
      </c>
    </row>
    <row r="42">
      <c r="A42" s="18" t="n"/>
      <c r="B42" s="8" t="n"/>
      <c r="C42" s="8" t="n"/>
      <c r="D42" s="19" t="n"/>
      <c r="E42" s="8" t="n"/>
      <c r="F42" s="20" t="n"/>
      <c r="G42" s="19" t="n"/>
      <c r="H42" s="21" t="str">
        <f>IF(A42="","",TEXT(A42,"YYYY-MM"))</f>
        <v/>
      </c>
    </row>
    <row r="43">
      <c r="A43" s="18" t="n"/>
      <c r="B43" s="8" t="n"/>
      <c r="C43" s="8" t="n"/>
      <c r="D43" s="19" t="n"/>
      <c r="E43" s="8" t="n"/>
      <c r="F43" s="20" t="n"/>
      <c r="G43" s="19" t="n"/>
      <c r="H43" s="21" t="str">
        <f>IF(A43="","",TEXT(A43,"YYYY-MM"))</f>
        <v/>
      </c>
    </row>
    <row r="44">
      <c r="A44" s="18" t="n"/>
      <c r="B44" s="8" t="n"/>
      <c r="C44" s="8" t="n"/>
      <c r="D44" s="19" t="n"/>
      <c r="E44" s="8" t="n"/>
      <c r="F44" s="20" t="n"/>
      <c r="G44" s="19" t="n"/>
      <c r="H44" s="21" t="str">
        <f>IF(A44="","",TEXT(A44,"YYYY-MM"))</f>
        <v/>
      </c>
    </row>
    <row r="45">
      <c r="A45" s="18" t="n"/>
      <c r="B45" s="8" t="n"/>
      <c r="C45" s="8" t="n"/>
      <c r="D45" s="19" t="n"/>
      <c r="E45" s="8" t="n"/>
      <c r="F45" s="20" t="n"/>
      <c r="G45" s="19" t="n"/>
      <c r="H45" s="21" t="str">
        <f>IF(A45="","",TEXT(A45,"YYYY-MM"))</f>
        <v/>
      </c>
    </row>
    <row r="46">
      <c r="A46" s="18" t="n"/>
      <c r="B46" s="8" t="n"/>
      <c r="C46" s="8" t="n"/>
      <c r="D46" s="19" t="n"/>
      <c r="E46" s="8" t="n"/>
      <c r="F46" s="20" t="n"/>
      <c r="G46" s="19" t="n"/>
      <c r="H46" s="21" t="str">
        <f>IF(A46="","",TEXT(A46,"YYYY-MM"))</f>
        <v/>
      </c>
    </row>
    <row r="47">
      <c r="A47" s="18" t="n"/>
      <c r="B47" s="8" t="n"/>
      <c r="C47" s="8" t="n"/>
      <c r="D47" s="19" t="n"/>
      <c r="E47" s="8" t="n"/>
      <c r="F47" s="20" t="n"/>
      <c r="G47" s="19" t="n"/>
      <c r="H47" s="21" t="str">
        <f>IF(A47="","",TEXT(A47,"YYYY-MM"))</f>
        <v/>
      </c>
    </row>
    <row r="48">
      <c r="A48" s="18" t="n"/>
      <c r="B48" s="8" t="n"/>
      <c r="C48" s="8" t="n"/>
      <c r="D48" s="19" t="n"/>
      <c r="E48" s="8" t="n"/>
      <c r="F48" s="20" t="n"/>
      <c r="G48" s="19" t="n"/>
      <c r="H48" s="21" t="str">
        <f>IF(A48="","",TEXT(A48,"YYYY-MM"))</f>
        <v/>
      </c>
    </row>
    <row r="49">
      <c r="A49" s="18" t="n"/>
      <c r="B49" s="8" t="n"/>
      <c r="C49" s="8" t="n"/>
      <c r="D49" s="19" t="n"/>
      <c r="E49" s="8" t="n"/>
      <c r="F49" s="20" t="n"/>
      <c r="G49" s="19" t="n"/>
      <c r="H49" s="21" t="str">
        <f>IF(A49="","",TEXT(A49,"YYYY-MM"))</f>
        <v/>
      </c>
    </row>
    <row r="50">
      <c r="A50" s="18" t="n"/>
      <c r="B50" s="8" t="n"/>
      <c r="C50" s="8" t="n"/>
      <c r="D50" s="19" t="n"/>
      <c r="E50" s="8" t="n"/>
      <c r="F50" s="20" t="n"/>
      <c r="G50" s="19" t="n"/>
      <c r="H50" s="21" t="str">
        <f>IF(A50="","",TEXT(A50,"YYYY-MM"))</f>
        <v/>
      </c>
    </row>
    <row r="51">
      <c r="A51" s="18" t="n"/>
      <c r="B51" s="8" t="n"/>
      <c r="C51" s="8" t="n"/>
      <c r="D51" s="19" t="n"/>
      <c r="E51" s="8" t="n"/>
      <c r="F51" s="20" t="n"/>
      <c r="G51" s="19" t="n"/>
      <c r="H51" s="21" t="str">
        <f>IF(A51="","",TEXT(A51,"YYYY-MM"))</f>
        <v/>
      </c>
    </row>
    <row r="52">
      <c r="A52" s="18" t="n"/>
      <c r="B52" s="8" t="n"/>
      <c r="C52" s="8" t="n"/>
      <c r="D52" s="19" t="n"/>
      <c r="E52" s="8" t="n"/>
      <c r="F52" s="20" t="n"/>
      <c r="G52" s="19" t="n"/>
      <c r="H52" s="21" t="str">
        <f>IF(A52="","",TEXT(A52,"YYYY-MM"))</f>
        <v/>
      </c>
    </row>
    <row r="53">
      <c r="A53" s="18" t="n"/>
      <c r="B53" s="8" t="n"/>
      <c r="C53" s="8" t="n"/>
      <c r="D53" s="19" t="n"/>
      <c r="E53" s="8" t="n"/>
      <c r="F53" s="20" t="n"/>
      <c r="G53" s="19" t="n"/>
      <c r="H53" s="21" t="str">
        <f>IF(A53="","",TEXT(A53,"YYYY-MM"))</f>
        <v/>
      </c>
    </row>
    <row r="54">
      <c r="A54" s="18" t="n"/>
      <c r="B54" s="8" t="n"/>
      <c r="C54" s="8" t="n"/>
      <c r="D54" s="19" t="n"/>
      <c r="E54" s="8" t="n"/>
      <c r="F54" s="20" t="n"/>
      <c r="G54" s="19" t="n"/>
      <c r="H54" s="21" t="str">
        <f>IF(A54="","",TEXT(A54,"YYYY-MM"))</f>
        <v/>
      </c>
    </row>
    <row r="55">
      <c r="A55" s="18" t="n"/>
      <c r="B55" s="8" t="n"/>
      <c r="C55" s="8" t="n"/>
      <c r="D55" s="19" t="n"/>
      <c r="E55" s="8" t="n"/>
      <c r="F55" s="20" t="n"/>
      <c r="G55" s="19" t="n"/>
      <c r="H55" s="21" t="str">
        <f>IF(A55="","",TEXT(A55,"YYYY-MM"))</f>
        <v/>
      </c>
    </row>
    <row r="56">
      <c r="A56" s="18" t="n"/>
      <c r="B56" s="8" t="n"/>
      <c r="C56" s="8" t="n"/>
      <c r="D56" s="19" t="n"/>
      <c r="E56" s="8" t="n"/>
      <c r="F56" s="20" t="n"/>
      <c r="G56" s="19" t="n"/>
      <c r="H56" s="21" t="str">
        <f>IF(A56="","",TEXT(A56,"YYYY-MM"))</f>
        <v/>
      </c>
    </row>
    <row r="57">
      <c r="A57" s="18" t="n"/>
      <c r="B57" s="8" t="n"/>
      <c r="C57" s="8" t="n"/>
      <c r="D57" s="19" t="n"/>
      <c r="E57" s="8" t="n"/>
      <c r="F57" s="20" t="n"/>
      <c r="G57" s="19" t="n"/>
      <c r="H57" s="21" t="str">
        <f>IF(A57="","",TEXT(A57,"YYYY-MM"))</f>
        <v/>
      </c>
    </row>
    <row r="58">
      <c r="A58" s="18" t="n"/>
      <c r="B58" s="8" t="n"/>
      <c r="C58" s="8" t="n"/>
      <c r="D58" s="19" t="n"/>
      <c r="E58" s="8" t="n"/>
      <c r="F58" s="20" t="n"/>
      <c r="G58" s="19" t="n"/>
      <c r="H58" s="21" t="str">
        <f>IF(A58="","",TEXT(A58,"YYYY-MM"))</f>
        <v/>
      </c>
    </row>
    <row r="59">
      <c r="A59" s="18" t="n"/>
      <c r="B59" s="8" t="n"/>
      <c r="C59" s="8" t="n"/>
      <c r="D59" s="19" t="n"/>
      <c r="E59" s="8" t="n"/>
      <c r="F59" s="20" t="n"/>
      <c r="G59" s="19" t="n"/>
      <c r="H59" s="21" t="str">
        <f>IF(A59="","",TEXT(A59,"YYYY-MM"))</f>
        <v/>
      </c>
    </row>
    <row r="60">
      <c r="A60" s="18" t="n"/>
      <c r="B60" s="8" t="n"/>
      <c r="C60" s="8" t="n"/>
      <c r="D60" s="19" t="n"/>
      <c r="E60" s="8" t="n"/>
      <c r="F60" s="20" t="n"/>
      <c r="G60" s="19" t="n"/>
      <c r="H60" s="21" t="str">
        <f>IF(A60="","",TEXT(A60,"YYYY-MM"))</f>
        <v/>
      </c>
    </row>
    <row r="61">
      <c r="A61" s="18" t="n"/>
      <c r="B61" s="8" t="n"/>
      <c r="C61" s="8" t="n"/>
      <c r="D61" s="19" t="n"/>
      <c r="E61" s="8" t="n"/>
      <c r="F61" s="20" t="n"/>
      <c r="G61" s="19" t="n"/>
      <c r="H61" s="21" t="str">
        <f>IF(A61="","",TEXT(A61,"YYYY-MM"))</f>
        <v/>
      </c>
    </row>
    <row r="62">
      <c r="A62" s="18" t="n"/>
      <c r="B62" s="8" t="n"/>
      <c r="C62" s="8" t="n"/>
      <c r="D62" s="19" t="n"/>
      <c r="E62" s="8" t="n"/>
      <c r="F62" s="20" t="n"/>
      <c r="G62" s="19" t="n"/>
      <c r="H62" s="21" t="str">
        <f>IF(A62="","",TEXT(A62,"YYYY-MM"))</f>
        <v/>
      </c>
    </row>
    <row r="63">
      <c r="A63" s="18" t="n"/>
      <c r="B63" s="8" t="n"/>
      <c r="C63" s="8" t="n"/>
      <c r="D63" s="19" t="n"/>
      <c r="E63" s="8" t="n"/>
      <c r="F63" s="20" t="n"/>
      <c r="G63" s="19" t="n"/>
      <c r="H63" s="21" t="str">
        <f>IF(A63="","",TEXT(A63,"YYYY-MM"))</f>
        <v/>
      </c>
    </row>
    <row r="64">
      <c r="A64" s="18" t="n"/>
      <c r="B64" s="8" t="n"/>
      <c r="C64" s="8" t="n"/>
      <c r="D64" s="19" t="n"/>
      <c r="E64" s="8" t="n"/>
      <c r="F64" s="20" t="n"/>
      <c r="G64" s="19" t="n"/>
      <c r="H64" s="21" t="str">
        <f>IF(A64="","",TEXT(A64,"YYYY-MM"))</f>
        <v/>
      </c>
    </row>
    <row r="65">
      <c r="A65" s="18" t="n"/>
      <c r="B65" s="8" t="n"/>
      <c r="C65" s="8" t="n"/>
      <c r="D65" s="19" t="n"/>
      <c r="E65" s="8" t="n"/>
      <c r="F65" s="20" t="n"/>
      <c r="G65" s="19" t="n"/>
      <c r="H65" s="21" t="str">
        <f>IF(A65="","",TEXT(A65,"YYYY-MM"))</f>
        <v/>
      </c>
    </row>
    <row r="66">
      <c r="A66" s="18" t="n"/>
      <c r="B66" s="8" t="n"/>
      <c r="C66" s="8" t="n"/>
      <c r="D66" s="19" t="n"/>
      <c r="E66" s="8" t="n"/>
      <c r="F66" s="20" t="n"/>
      <c r="G66" s="19" t="n"/>
      <c r="H66" s="21" t="str">
        <f>IF(A66="","",TEXT(A66,"YYYY-MM"))</f>
        <v/>
      </c>
    </row>
    <row r="67">
      <c r="A67" s="18" t="n"/>
      <c r="B67" s="8" t="n"/>
      <c r="C67" s="8" t="n"/>
      <c r="D67" s="19" t="n"/>
      <c r="E67" s="8" t="n"/>
      <c r="F67" s="20" t="n"/>
      <c r="G67" s="19" t="n"/>
      <c r="H67" s="21" t="str">
        <f>IF(A67="","",TEXT(A67,"YYYY-MM"))</f>
        <v/>
      </c>
    </row>
    <row r="68">
      <c r="A68" s="18" t="n"/>
      <c r="B68" s="8" t="n"/>
      <c r="C68" s="8" t="n"/>
      <c r="D68" s="19" t="n"/>
      <c r="E68" s="8" t="n"/>
      <c r="F68" s="20" t="n"/>
      <c r="G68" s="19" t="n"/>
      <c r="H68" s="21" t="str">
        <f>IF(A68="","",TEXT(A68,"YYYY-MM"))</f>
        <v/>
      </c>
    </row>
    <row r="69">
      <c r="A69" s="18" t="n"/>
      <c r="B69" s="8" t="n"/>
      <c r="C69" s="8" t="n"/>
      <c r="D69" s="19" t="n"/>
      <c r="E69" s="8" t="n"/>
      <c r="F69" s="20" t="n"/>
      <c r="G69" s="19" t="n"/>
      <c r="H69" s="21" t="str">
        <f>IF(A69="","",TEXT(A69,"YYYY-MM"))</f>
        <v/>
      </c>
    </row>
    <row r="70">
      <c r="A70" s="18" t="n"/>
      <c r="B70" s="8" t="n"/>
      <c r="C70" s="8" t="n"/>
      <c r="D70" s="19" t="n"/>
      <c r="E70" s="8" t="n"/>
      <c r="F70" s="20" t="n"/>
      <c r="G70" s="19" t="n"/>
      <c r="H70" s="21" t="str">
        <f>IF(A70="","",TEXT(A70,"YYYY-MM"))</f>
        <v/>
      </c>
    </row>
    <row r="71">
      <c r="A71" s="18" t="n"/>
      <c r="B71" s="8" t="n"/>
      <c r="C71" s="8" t="n"/>
      <c r="D71" s="19" t="n"/>
      <c r="E71" s="8" t="n"/>
      <c r="F71" s="20" t="n"/>
      <c r="G71" s="19" t="n"/>
      <c r="H71" s="21" t="str">
        <f>IF(A71="","",TEXT(A71,"YYYY-MM"))</f>
        <v/>
      </c>
    </row>
    <row r="72">
      <c r="A72" s="18" t="n"/>
      <c r="B72" s="8" t="n"/>
      <c r="C72" s="8" t="n"/>
      <c r="D72" s="19" t="n"/>
      <c r="E72" s="8" t="n"/>
      <c r="F72" s="20" t="n"/>
      <c r="G72" s="19" t="n"/>
      <c r="H72" s="21" t="str">
        <f>IF(A72="","",TEXT(A72,"YYYY-MM"))</f>
        <v/>
      </c>
    </row>
    <row r="73">
      <c r="A73" s="18" t="n"/>
      <c r="B73" s="8" t="n"/>
      <c r="C73" s="8" t="n"/>
      <c r="D73" s="19" t="n"/>
      <c r="E73" s="8" t="n"/>
      <c r="F73" s="20" t="n"/>
      <c r="G73" s="19" t="n"/>
      <c r="H73" s="21" t="str">
        <f>IF(A73="","",TEXT(A73,"YYYY-MM"))</f>
        <v/>
      </c>
    </row>
    <row r="74">
      <c r="A74" s="18" t="n"/>
      <c r="B74" s="8" t="n"/>
      <c r="C74" s="8" t="n"/>
      <c r="D74" s="19" t="n"/>
      <c r="E74" s="8" t="n"/>
      <c r="F74" s="20" t="n"/>
      <c r="G74" s="19" t="n"/>
      <c r="H74" s="21" t="str">
        <f>IF(A74="","",TEXT(A74,"YYYY-MM"))</f>
        <v/>
      </c>
    </row>
    <row r="75">
      <c r="A75" s="18" t="n"/>
      <c r="B75" s="8" t="n"/>
      <c r="C75" s="8" t="n"/>
      <c r="D75" s="19" t="n"/>
      <c r="E75" s="8" t="n"/>
      <c r="F75" s="20" t="n"/>
      <c r="G75" s="19" t="n"/>
      <c r="H75" s="21" t="str">
        <f>IF(A75="","",TEXT(A75,"YYYY-MM"))</f>
        <v/>
      </c>
    </row>
    <row r="76">
      <c r="A76" s="18" t="n"/>
      <c r="B76" s="8" t="n"/>
      <c r="C76" s="8" t="n"/>
      <c r="D76" s="19" t="n"/>
      <c r="E76" s="8" t="n"/>
      <c r="F76" s="20" t="n"/>
      <c r="G76" s="19" t="n"/>
      <c r="H76" s="21" t="str">
        <f>IF(A76="","",TEXT(A76,"YYYY-MM"))</f>
        <v/>
      </c>
    </row>
    <row r="77">
      <c r="A77" s="18" t="n"/>
      <c r="B77" s="8" t="n"/>
      <c r="C77" s="8" t="n"/>
      <c r="D77" s="19" t="n"/>
      <c r="E77" s="8" t="n"/>
      <c r="F77" s="20" t="n"/>
      <c r="G77" s="19" t="n"/>
      <c r="H77" s="21" t="str">
        <f>IF(A77="","",TEXT(A77,"YYYY-MM"))</f>
        <v/>
      </c>
    </row>
    <row r="78">
      <c r="A78" s="18" t="n"/>
      <c r="B78" s="8" t="n"/>
      <c r="C78" s="8" t="n"/>
      <c r="D78" s="19" t="n"/>
      <c r="E78" s="8" t="n"/>
      <c r="F78" s="20" t="n"/>
      <c r="G78" s="19" t="n"/>
      <c r="H78" s="21" t="str">
        <f>IF(A78="","",TEXT(A78,"YYYY-MM"))</f>
        <v/>
      </c>
    </row>
    <row r="79">
      <c r="A79" s="18" t="n"/>
      <c r="B79" s="8" t="n"/>
      <c r="C79" s="8" t="n"/>
      <c r="D79" s="19" t="n"/>
      <c r="E79" s="8" t="n"/>
      <c r="F79" s="20" t="n"/>
      <c r="G79" s="19" t="n"/>
      <c r="H79" s="21" t="str">
        <f>IF(A79="","",TEXT(A79,"YYYY-MM"))</f>
        <v/>
      </c>
    </row>
    <row r="80">
      <c r="A80" s="18" t="n"/>
      <c r="B80" s="8" t="n"/>
      <c r="C80" s="8" t="n"/>
      <c r="D80" s="19" t="n"/>
      <c r="E80" s="8" t="n"/>
      <c r="F80" s="20" t="n"/>
      <c r="G80" s="19" t="n"/>
      <c r="H80" s="21" t="str">
        <f>IF(A80="","",TEXT(A80,"YYYY-MM"))</f>
        <v/>
      </c>
    </row>
    <row r="81">
      <c r="A81" s="18" t="n"/>
      <c r="B81" s="8" t="n"/>
      <c r="C81" s="8" t="n"/>
      <c r="D81" s="19" t="n"/>
      <c r="E81" s="8" t="n"/>
      <c r="F81" s="20" t="n"/>
      <c r="G81" s="19" t="n"/>
      <c r="H81" s="21" t="str">
        <f>IF(A81="","",TEXT(A81,"YYYY-MM"))</f>
        <v/>
      </c>
    </row>
    <row r="82">
      <c r="A82" s="18" t="n"/>
      <c r="B82" s="8" t="n"/>
      <c r="C82" s="8" t="n"/>
      <c r="D82" s="19" t="n"/>
      <c r="E82" s="8" t="n"/>
      <c r="F82" s="20" t="n"/>
      <c r="G82" s="19" t="n"/>
      <c r="H82" s="21" t="str">
        <f>IF(A82="","",TEXT(A82,"YYYY-MM"))</f>
        <v/>
      </c>
    </row>
    <row r="83">
      <c r="A83" s="18" t="n"/>
      <c r="B83" s="8" t="n"/>
      <c r="C83" s="8" t="n"/>
      <c r="D83" s="19" t="n"/>
      <c r="E83" s="8" t="n"/>
      <c r="F83" s="20" t="n"/>
      <c r="G83" s="19" t="n"/>
      <c r="H83" s="21" t="str">
        <f>IF(A83="","",TEXT(A83,"YYYY-MM"))</f>
        <v/>
      </c>
    </row>
    <row r="84">
      <c r="A84" s="18" t="n"/>
      <c r="B84" s="8" t="n"/>
      <c r="C84" s="8" t="n"/>
      <c r="D84" s="19" t="n"/>
      <c r="E84" s="8" t="n"/>
      <c r="F84" s="20" t="n"/>
      <c r="G84" s="19" t="n"/>
      <c r="H84" s="21" t="str">
        <f>IF(A84="","",TEXT(A84,"YYYY-MM"))</f>
        <v/>
      </c>
    </row>
    <row r="85">
      <c r="A85" s="18" t="n"/>
      <c r="B85" s="8" t="n"/>
      <c r="C85" s="8" t="n"/>
      <c r="D85" s="19" t="n"/>
      <c r="E85" s="8" t="n"/>
      <c r="F85" s="20" t="n"/>
      <c r="G85" s="19" t="n"/>
      <c r="H85" s="21" t="str">
        <f>IF(A85="","",TEXT(A85,"YYYY-MM"))</f>
        <v/>
      </c>
    </row>
    <row r="86">
      <c r="A86" s="18" t="n"/>
      <c r="B86" s="8" t="n"/>
      <c r="C86" s="8" t="n"/>
      <c r="D86" s="19" t="n"/>
      <c r="E86" s="8" t="n"/>
      <c r="F86" s="20" t="n"/>
      <c r="G86" s="19" t="n"/>
      <c r="H86" s="21" t="str">
        <f>IF(A86="","",TEXT(A86,"YYYY-MM"))</f>
        <v/>
      </c>
    </row>
    <row r="87">
      <c r="A87" s="18" t="n"/>
      <c r="B87" s="8" t="n"/>
      <c r="C87" s="8" t="n"/>
      <c r="D87" s="19" t="n"/>
      <c r="E87" s="8" t="n"/>
      <c r="F87" s="20" t="n"/>
      <c r="G87" s="19" t="n"/>
      <c r="H87" s="21" t="str">
        <f>IF(A87="","",TEXT(A87,"YYYY-MM"))</f>
        <v/>
      </c>
    </row>
    <row r="88">
      <c r="A88" s="18" t="n"/>
      <c r="B88" s="8" t="n"/>
      <c r="C88" s="8" t="n"/>
      <c r="D88" s="19" t="n"/>
      <c r="E88" s="8" t="n"/>
      <c r="F88" s="20" t="n"/>
      <c r="G88" s="19" t="n"/>
      <c r="H88" s="21" t="str">
        <f>IF(A88="","",TEXT(A88,"YYYY-MM"))</f>
        <v/>
      </c>
    </row>
    <row r="89">
      <c r="A89" s="18" t="n"/>
      <c r="B89" s="8" t="n"/>
      <c r="C89" s="8" t="n"/>
      <c r="D89" s="19" t="n"/>
      <c r="E89" s="8" t="n"/>
      <c r="F89" s="20" t="n"/>
      <c r="G89" s="19" t="n"/>
      <c r="H89" s="21" t="str">
        <f>IF(A89="","",TEXT(A89,"YYYY-MM"))</f>
        <v/>
      </c>
    </row>
    <row r="90">
      <c r="A90" s="18" t="n"/>
      <c r="B90" s="8" t="n"/>
      <c r="C90" s="8" t="n"/>
      <c r="D90" s="19" t="n"/>
      <c r="E90" s="8" t="n"/>
      <c r="F90" s="20" t="n"/>
      <c r="G90" s="19" t="n"/>
      <c r="H90" s="21" t="str">
        <f>IF(A90="","",TEXT(A90,"YYYY-MM"))</f>
        <v/>
      </c>
    </row>
    <row r="91">
      <c r="A91" s="18" t="n"/>
      <c r="B91" s="8" t="n"/>
      <c r="C91" s="8" t="n"/>
      <c r="D91" s="19" t="n"/>
      <c r="E91" s="8" t="n"/>
      <c r="F91" s="20" t="n"/>
      <c r="G91" s="19" t="n"/>
      <c r="H91" s="21" t="str">
        <f>IF(A91="","",TEXT(A91,"YYYY-MM"))</f>
        <v/>
      </c>
    </row>
    <row r="92">
      <c r="A92" s="18" t="n"/>
      <c r="B92" s="8" t="n"/>
      <c r="C92" s="8" t="n"/>
      <c r="D92" s="19" t="n"/>
      <c r="E92" s="8" t="n"/>
      <c r="F92" s="20" t="n"/>
      <c r="G92" s="19" t="n"/>
      <c r="H92" s="21" t="str">
        <f>IF(A92="","",TEXT(A92,"YYYY-MM"))</f>
        <v/>
      </c>
    </row>
    <row r="93">
      <c r="A93" s="18" t="n"/>
      <c r="B93" s="8" t="n"/>
      <c r="C93" s="8" t="n"/>
      <c r="D93" s="19" t="n"/>
      <c r="E93" s="8" t="n"/>
      <c r="F93" s="20" t="n"/>
      <c r="G93" s="19" t="n"/>
      <c r="H93" s="21" t="str">
        <f>IF(A93="","",TEXT(A93,"YYYY-MM"))</f>
        <v/>
      </c>
    </row>
    <row r="94">
      <c r="A94" s="18" t="n"/>
      <c r="B94" s="8" t="n"/>
      <c r="C94" s="8" t="n"/>
      <c r="D94" s="19" t="n"/>
      <c r="E94" s="8" t="n"/>
      <c r="F94" s="20" t="n"/>
      <c r="G94" s="19" t="n"/>
      <c r="H94" s="21" t="str">
        <f>IF(A94="","",TEXT(A94,"YYYY-MM"))</f>
        <v/>
      </c>
    </row>
    <row r="95">
      <c r="A95" s="18" t="n"/>
      <c r="B95" s="8" t="n"/>
      <c r="C95" s="8" t="n"/>
      <c r="D95" s="19" t="n"/>
      <c r="E95" s="8" t="n"/>
      <c r="F95" s="20" t="n"/>
      <c r="G95" s="19" t="n"/>
      <c r="H95" s="21" t="str">
        <f>IF(A95="","",TEXT(A95,"YYYY-MM"))</f>
        <v/>
      </c>
    </row>
    <row r="96">
      <c r="A96" s="18" t="n"/>
      <c r="B96" s="8" t="n"/>
      <c r="C96" s="8" t="n"/>
      <c r="D96" s="19" t="n"/>
      <c r="E96" s="8" t="n"/>
      <c r="F96" s="20" t="n"/>
      <c r="G96" s="19" t="n"/>
      <c r="H96" s="21" t="str">
        <f>IF(A96="","",TEXT(A96,"YYYY-MM"))</f>
        <v/>
      </c>
    </row>
    <row r="97">
      <c r="A97" s="18" t="n"/>
      <c r="B97" s="8" t="n"/>
      <c r="C97" s="8" t="n"/>
      <c r="D97" s="19" t="n"/>
      <c r="E97" s="8" t="n"/>
      <c r="F97" s="20" t="n"/>
      <c r="G97" s="19" t="n"/>
      <c r="H97" s="21" t="str">
        <f>IF(A97="","",TEXT(A97,"YYYY-MM"))</f>
        <v/>
      </c>
    </row>
    <row r="98">
      <c r="A98" s="18" t="n"/>
      <c r="B98" s="8" t="n"/>
      <c r="C98" s="8" t="n"/>
      <c r="D98" s="19" t="n"/>
      <c r="E98" s="8" t="n"/>
      <c r="F98" s="20" t="n"/>
      <c r="G98" s="19" t="n"/>
      <c r="H98" s="21" t="str">
        <f>IF(A98="","",TEXT(A98,"YYYY-MM"))</f>
        <v/>
      </c>
    </row>
    <row r="99">
      <c r="A99" s="18" t="n"/>
      <c r="B99" s="8" t="n"/>
      <c r="C99" s="8" t="n"/>
      <c r="D99" s="19" t="n"/>
      <c r="E99" s="8" t="n"/>
      <c r="F99" s="20" t="n"/>
      <c r="G99" s="19" t="n"/>
      <c r="H99" s="21" t="str">
        <f>IF(A99="","",TEXT(A99,"YYYY-MM"))</f>
        <v/>
      </c>
    </row>
    <row r="100">
      <c r="A100" s="18" t="n"/>
      <c r="B100" s="8" t="n"/>
      <c r="C100" s="8" t="n"/>
      <c r="D100" s="19" t="n"/>
      <c r="E100" s="8" t="n"/>
      <c r="F100" s="20" t="n"/>
      <c r="G100" s="19" t="n"/>
      <c r="H100" s="21" t="str">
        <f>IF(A100="","",TEXT(A100,"YYYY-MM"))</f>
        <v/>
      </c>
    </row>
    <row r="101">
      <c r="A101" s="18" t="n"/>
      <c r="B101" s="8" t="n"/>
      <c r="C101" s="8" t="n"/>
      <c r="D101" s="19" t="n"/>
      <c r="E101" s="8" t="n"/>
      <c r="F101" s="20" t="n"/>
      <c r="G101" s="19" t="n"/>
      <c r="H101" s="21" t="str">
        <f>IF(A101="","",TEXT(A101,"YYYY-MM"))</f>
        <v/>
      </c>
    </row>
    <row r="102">
      <c r="A102" s="18" t="n"/>
      <c r="B102" s="8" t="n"/>
      <c r="C102" s="8" t="n"/>
      <c r="D102" s="19" t="n"/>
      <c r="E102" s="8" t="n"/>
      <c r="F102" s="20" t="n"/>
      <c r="G102" s="19" t="n"/>
      <c r="H102" s="21" t="str">
        <f>IF(A102="","",TEXT(A102,"YYYY-MM"))</f>
        <v/>
      </c>
    </row>
    <row r="103">
      <c r="A103" s="18" t="n"/>
      <c r="B103" s="8" t="n"/>
      <c r="C103" s="8" t="n"/>
      <c r="D103" s="19" t="n"/>
      <c r="E103" s="8" t="n"/>
      <c r="F103" s="20" t="n"/>
      <c r="G103" s="19" t="n"/>
      <c r="H103" s="21" t="str">
        <f>IF(A103="","",TEXT(A103,"YYYY-MM"))</f>
        <v/>
      </c>
    </row>
    <row r="104">
      <c r="A104" s="18" t="n"/>
      <c r="B104" s="8" t="n"/>
      <c r="C104" s="8" t="n"/>
      <c r="D104" s="19" t="n"/>
      <c r="E104" s="8" t="n"/>
      <c r="F104" s="20" t="n"/>
      <c r="G104" s="19" t="n"/>
      <c r="H104" s="21" t="str">
        <f>IF(A104="","",TEXT(A104,"YYYY-MM"))</f>
        <v/>
      </c>
    </row>
    <row r="105">
      <c r="A105" s="18" t="n"/>
      <c r="B105" s="8" t="n"/>
      <c r="C105" s="8" t="n"/>
      <c r="D105" s="19" t="n"/>
      <c r="E105" s="8" t="n"/>
      <c r="F105" s="20" t="n"/>
      <c r="G105" s="19" t="n"/>
      <c r="H105" s="21" t="str">
        <f>IF(A105="","",TEXT(A105,"YYYY-MM"))</f>
        <v/>
      </c>
    </row>
    <row r="106">
      <c r="A106" s="18" t="n"/>
      <c r="B106" s="8" t="n"/>
      <c r="C106" s="8" t="n"/>
      <c r="D106" s="19" t="n"/>
      <c r="E106" s="8" t="n"/>
      <c r="F106" s="20" t="n"/>
      <c r="G106" s="19" t="n"/>
      <c r="H106" s="21" t="str">
        <f>IF(A106="","",TEXT(A106,"YYYY-MM"))</f>
        <v/>
      </c>
    </row>
    <row r="107">
      <c r="A107" s="18" t="n"/>
      <c r="B107" s="8" t="n"/>
      <c r="C107" s="8" t="n"/>
      <c r="D107" s="19" t="n"/>
      <c r="E107" s="8" t="n"/>
      <c r="F107" s="20" t="n"/>
      <c r="G107" s="19" t="n"/>
      <c r="H107" s="21" t="str">
        <f>IF(A107="","",TEXT(A107,"YYYY-MM"))</f>
        <v/>
      </c>
    </row>
    <row r="108">
      <c r="A108" s="18" t="n"/>
      <c r="B108" s="8" t="n"/>
      <c r="C108" s="8" t="n"/>
      <c r="D108" s="19" t="n"/>
      <c r="E108" s="8" t="n"/>
      <c r="F108" s="20" t="n"/>
      <c r="G108" s="19" t="n"/>
      <c r="H108" s="21" t="str">
        <f>IF(A108="","",TEXT(A108,"YYYY-MM"))</f>
        <v/>
      </c>
    </row>
    <row r="109">
      <c r="A109" s="18" t="n"/>
      <c r="B109" s="8" t="n"/>
      <c r="C109" s="8" t="n"/>
      <c r="D109" s="19" t="n"/>
      <c r="E109" s="8" t="n"/>
      <c r="F109" s="20" t="n"/>
      <c r="G109" s="19" t="n"/>
      <c r="H109" s="21" t="str">
        <f>IF(A109="","",TEXT(A109,"YYYY-MM"))</f>
        <v/>
      </c>
    </row>
    <row r="110">
      <c r="A110" s="18" t="n"/>
      <c r="B110" s="8" t="n"/>
      <c r="C110" s="8" t="n"/>
      <c r="D110" s="19" t="n"/>
      <c r="E110" s="8" t="n"/>
      <c r="F110" s="20" t="n"/>
      <c r="G110" s="19" t="n"/>
      <c r="H110" s="21" t="str">
        <f>IF(A110="","",TEXT(A110,"YYYY-MM"))</f>
        <v/>
      </c>
    </row>
    <row r="111">
      <c r="A111" s="18" t="n"/>
      <c r="B111" s="8" t="n"/>
      <c r="C111" s="8" t="n"/>
      <c r="D111" s="19" t="n"/>
      <c r="E111" s="8" t="n"/>
      <c r="F111" s="20" t="n"/>
      <c r="G111" s="19" t="n"/>
      <c r="H111" s="21" t="str">
        <f>IF(A111="","",TEXT(A111,"YYYY-MM"))</f>
        <v/>
      </c>
    </row>
    <row r="112">
      <c r="A112" s="18" t="n"/>
      <c r="B112" s="8" t="n"/>
      <c r="C112" s="8" t="n"/>
      <c r="D112" s="19" t="n"/>
      <c r="E112" s="8" t="n"/>
      <c r="F112" s="20" t="n"/>
      <c r="G112" s="19" t="n"/>
      <c r="H112" s="21" t="str">
        <f>IF(A112="","",TEXT(A112,"YYYY-MM"))</f>
        <v/>
      </c>
    </row>
    <row r="113">
      <c r="A113" s="18" t="n"/>
      <c r="B113" s="8" t="n"/>
      <c r="C113" s="8" t="n"/>
      <c r="D113" s="19" t="n"/>
      <c r="E113" s="8" t="n"/>
      <c r="F113" s="20" t="n"/>
      <c r="G113" s="19" t="n"/>
      <c r="H113" s="21" t="str">
        <f>IF(A113="","",TEXT(A113,"YYYY-MM"))</f>
        <v/>
      </c>
    </row>
    <row r="114">
      <c r="A114" s="18" t="n"/>
      <c r="B114" s="8" t="n"/>
      <c r="C114" s="8" t="n"/>
      <c r="D114" s="19" t="n"/>
      <c r="E114" s="8" t="n"/>
      <c r="F114" s="20" t="n"/>
      <c r="G114" s="19" t="n"/>
      <c r="H114" s="21" t="str">
        <f>IF(A114="","",TEXT(A114,"YYYY-MM"))</f>
        <v/>
      </c>
    </row>
    <row r="115">
      <c r="A115" s="18" t="n"/>
      <c r="B115" s="8" t="n"/>
      <c r="C115" s="8" t="n"/>
      <c r="D115" s="19" t="n"/>
      <c r="E115" s="8" t="n"/>
      <c r="F115" s="20" t="n"/>
      <c r="G115" s="19" t="n"/>
      <c r="H115" s="21" t="str">
        <f>IF(A115="","",TEXT(A115,"YYYY-MM"))</f>
        <v/>
      </c>
    </row>
    <row r="116">
      <c r="A116" s="18" t="n"/>
      <c r="B116" s="8" t="n"/>
      <c r="C116" s="8" t="n"/>
      <c r="D116" s="19" t="n"/>
      <c r="E116" s="8" t="n"/>
      <c r="F116" s="20" t="n"/>
      <c r="G116" s="19" t="n"/>
      <c r="H116" s="21" t="str">
        <f>IF(A116="","",TEXT(A116,"YYYY-MM"))</f>
        <v/>
      </c>
    </row>
    <row r="117">
      <c r="A117" s="18" t="n"/>
      <c r="B117" s="8" t="n"/>
      <c r="C117" s="8" t="n"/>
      <c r="D117" s="19" t="n"/>
      <c r="E117" s="8" t="n"/>
      <c r="F117" s="20" t="n"/>
      <c r="G117" s="19" t="n"/>
      <c r="H117" s="21" t="str">
        <f>IF(A117="","",TEXT(A117,"YYYY-MM"))</f>
        <v/>
      </c>
    </row>
    <row r="118">
      <c r="A118" s="18" t="n"/>
      <c r="B118" s="8" t="n"/>
      <c r="C118" s="8" t="n"/>
      <c r="D118" s="19" t="n"/>
      <c r="E118" s="8" t="n"/>
      <c r="F118" s="20" t="n"/>
      <c r="G118" s="19" t="n"/>
      <c r="H118" s="21" t="str">
        <f>IF(A118="","",TEXT(A118,"YYYY-MM"))</f>
        <v/>
      </c>
    </row>
    <row r="119">
      <c r="A119" s="18" t="n"/>
      <c r="B119" s="8" t="n"/>
      <c r="C119" s="8" t="n"/>
      <c r="D119" s="19" t="n"/>
      <c r="E119" s="8" t="n"/>
      <c r="F119" s="20" t="n"/>
      <c r="G119" s="19" t="n"/>
      <c r="H119" s="21" t="str">
        <f>IF(A119="","",TEXT(A119,"YYYY-MM"))</f>
        <v/>
      </c>
    </row>
    <row r="120">
      <c r="A120" s="18" t="n"/>
      <c r="B120" s="8" t="n"/>
      <c r="C120" s="8" t="n"/>
      <c r="D120" s="19" t="n"/>
      <c r="E120" s="8" t="n"/>
      <c r="F120" s="20" t="n"/>
      <c r="G120" s="19" t="n"/>
      <c r="H120" s="21" t="str">
        <f>IF(A120="","",TEXT(A120,"YYYY-MM"))</f>
        <v/>
      </c>
    </row>
    <row r="121">
      <c r="A121" s="18" t="n"/>
      <c r="B121" s="8" t="n"/>
      <c r="C121" s="8" t="n"/>
      <c r="D121" s="19" t="n"/>
      <c r="E121" s="8" t="n"/>
      <c r="F121" s="20" t="n"/>
      <c r="G121" s="19" t="n"/>
      <c r="H121" s="21" t="str">
        <f>IF(A121="","",TEXT(A121,"YYYY-MM"))</f>
        <v/>
      </c>
    </row>
    <row r="122">
      <c r="A122" s="18" t="n"/>
      <c r="B122" s="8" t="n"/>
      <c r="C122" s="8" t="n"/>
      <c r="D122" s="19" t="n"/>
      <c r="E122" s="8" t="n"/>
      <c r="F122" s="20" t="n"/>
      <c r="G122" s="19" t="n"/>
      <c r="H122" s="21" t="str">
        <f>IF(A122="","",TEXT(A122,"YYYY-MM"))</f>
        <v/>
      </c>
    </row>
    <row r="123">
      <c r="A123" s="18" t="n"/>
      <c r="B123" s="8" t="n"/>
      <c r="C123" s="8" t="n"/>
      <c r="D123" s="19" t="n"/>
      <c r="E123" s="8" t="n"/>
      <c r="F123" s="20" t="n"/>
      <c r="G123" s="19" t="n"/>
      <c r="H123" s="21" t="str">
        <f>IF(A123="","",TEXT(A123,"YYYY-MM"))</f>
        <v/>
      </c>
    </row>
    <row r="124">
      <c r="A124" s="18" t="n"/>
      <c r="B124" s="8" t="n"/>
      <c r="C124" s="8" t="n"/>
      <c r="D124" s="19" t="n"/>
      <c r="E124" s="8" t="n"/>
      <c r="F124" s="20" t="n"/>
      <c r="G124" s="19" t="n"/>
      <c r="H124" s="21" t="str">
        <f>IF(A124="","",TEXT(A124,"YYYY-MM"))</f>
        <v/>
      </c>
    </row>
    <row r="125">
      <c r="A125" s="18" t="n"/>
      <c r="B125" s="8" t="n"/>
      <c r="C125" s="8" t="n"/>
      <c r="D125" s="19" t="n"/>
      <c r="E125" s="8" t="n"/>
      <c r="F125" s="20" t="n"/>
      <c r="G125" s="19" t="n"/>
      <c r="H125" s="21" t="str">
        <f>IF(A125="","",TEXT(A125,"YYYY-MM"))</f>
        <v/>
      </c>
    </row>
    <row r="126">
      <c r="A126" s="18" t="n"/>
      <c r="B126" s="8" t="n"/>
      <c r="C126" s="8" t="n"/>
      <c r="D126" s="19" t="n"/>
      <c r="E126" s="8" t="n"/>
      <c r="F126" s="20" t="n"/>
      <c r="G126" s="19" t="n"/>
      <c r="H126" s="21" t="str">
        <f>IF(A126="","",TEXT(A126,"YYYY-MM"))</f>
        <v/>
      </c>
    </row>
    <row r="127">
      <c r="A127" s="18" t="n"/>
      <c r="B127" s="8" t="n"/>
      <c r="C127" s="8" t="n"/>
      <c r="D127" s="19" t="n"/>
      <c r="E127" s="8" t="n"/>
      <c r="F127" s="20" t="n"/>
      <c r="G127" s="19" t="n"/>
      <c r="H127" s="21" t="str">
        <f>IF(A127="","",TEXT(A127,"YYYY-MM"))</f>
        <v/>
      </c>
    </row>
    <row r="128">
      <c r="A128" s="18" t="n"/>
      <c r="B128" s="8" t="n"/>
      <c r="C128" s="8" t="n"/>
      <c r="D128" s="19" t="n"/>
      <c r="E128" s="8" t="n"/>
      <c r="F128" s="20" t="n"/>
      <c r="G128" s="19" t="n"/>
      <c r="H128" s="21" t="str">
        <f>IF(A128="","",TEXT(A128,"YYYY-MM"))</f>
        <v/>
      </c>
    </row>
    <row r="129">
      <c r="A129" s="18" t="n"/>
      <c r="B129" s="8" t="n"/>
      <c r="C129" s="8" t="n"/>
      <c r="D129" s="19" t="n"/>
      <c r="E129" s="8" t="n"/>
      <c r="F129" s="20" t="n"/>
      <c r="G129" s="19" t="n"/>
      <c r="H129" s="21" t="str">
        <f>IF(A129="","",TEXT(A129,"YYYY-MM"))</f>
        <v/>
      </c>
    </row>
    <row r="130">
      <c r="A130" s="18" t="n"/>
      <c r="B130" s="8" t="n"/>
      <c r="C130" s="8" t="n"/>
      <c r="D130" s="19" t="n"/>
      <c r="E130" s="8" t="n"/>
      <c r="F130" s="20" t="n"/>
      <c r="G130" s="19" t="n"/>
      <c r="H130" s="21" t="str">
        <f>IF(A130="","",TEXT(A130,"YYYY-MM"))</f>
        <v/>
      </c>
    </row>
    <row r="131">
      <c r="A131" s="18" t="n"/>
      <c r="B131" s="8" t="n"/>
      <c r="C131" s="8" t="n"/>
      <c r="D131" s="19" t="n"/>
      <c r="E131" s="8" t="n"/>
      <c r="F131" s="20" t="n"/>
      <c r="G131" s="19" t="n"/>
      <c r="H131" s="21" t="str">
        <f>IF(A131="","",TEXT(A131,"YYYY-MM"))</f>
        <v/>
      </c>
    </row>
    <row r="132">
      <c r="A132" s="18" t="n"/>
      <c r="B132" s="8" t="n"/>
      <c r="C132" s="8" t="n"/>
      <c r="D132" s="19" t="n"/>
      <c r="E132" s="8" t="n"/>
      <c r="F132" s="20" t="n"/>
      <c r="G132" s="19" t="n"/>
      <c r="H132" s="21" t="str">
        <f>IF(A132="","",TEXT(A132,"YYYY-MM"))</f>
        <v/>
      </c>
    </row>
    <row r="133">
      <c r="A133" s="18" t="n"/>
      <c r="B133" s="8" t="n"/>
      <c r="C133" s="8" t="n"/>
      <c r="D133" s="19" t="n"/>
      <c r="E133" s="8" t="n"/>
      <c r="F133" s="20" t="n"/>
      <c r="G133" s="19" t="n"/>
      <c r="H133" s="21" t="str">
        <f>IF(A133="","",TEXT(A133,"YYYY-MM"))</f>
        <v/>
      </c>
    </row>
    <row r="134">
      <c r="A134" s="18" t="n"/>
      <c r="B134" s="8" t="n"/>
      <c r="C134" s="8" t="n"/>
      <c r="D134" s="19" t="n"/>
      <c r="E134" s="8" t="n"/>
      <c r="F134" s="20" t="n"/>
      <c r="G134" s="19" t="n"/>
      <c r="H134" s="21" t="str">
        <f>IF(A134="","",TEXT(A134,"YYYY-MM"))</f>
        <v/>
      </c>
    </row>
    <row r="135">
      <c r="A135" s="18" t="n"/>
      <c r="B135" s="8" t="n"/>
      <c r="C135" s="8" t="n"/>
      <c r="D135" s="19" t="n"/>
      <c r="E135" s="8" t="n"/>
      <c r="F135" s="20" t="n"/>
      <c r="G135" s="19" t="n"/>
      <c r="H135" s="21" t="str">
        <f>IF(A135="","",TEXT(A135,"YYYY-MM"))</f>
        <v/>
      </c>
    </row>
    <row r="136">
      <c r="A136" s="18" t="n"/>
      <c r="B136" s="8" t="n"/>
      <c r="C136" s="8" t="n"/>
      <c r="D136" s="19" t="n"/>
      <c r="E136" s="8" t="n"/>
      <c r="F136" s="20" t="n"/>
      <c r="G136" s="19" t="n"/>
      <c r="H136" s="21" t="str">
        <f>IF(A136="","",TEXT(A136,"YYYY-MM"))</f>
        <v/>
      </c>
    </row>
    <row r="137">
      <c r="A137" s="18" t="n"/>
      <c r="B137" s="8" t="n"/>
      <c r="C137" s="8" t="n"/>
      <c r="D137" s="19" t="n"/>
      <c r="E137" s="8" t="n"/>
      <c r="F137" s="20" t="n"/>
      <c r="G137" s="19" t="n"/>
      <c r="H137" s="21" t="str">
        <f>IF(A137="","",TEXT(A137,"YYYY-MM"))</f>
        <v/>
      </c>
    </row>
    <row r="138">
      <c r="A138" s="18" t="n"/>
      <c r="B138" s="8" t="n"/>
      <c r="C138" s="8" t="n"/>
      <c r="D138" s="19" t="n"/>
      <c r="E138" s="8" t="n"/>
      <c r="F138" s="20" t="n"/>
      <c r="G138" s="19" t="n"/>
      <c r="H138" s="21" t="str">
        <f>IF(A138="","",TEXT(A138,"YYYY-MM"))</f>
        <v/>
      </c>
    </row>
    <row r="139">
      <c r="A139" s="18" t="n"/>
      <c r="B139" s="8" t="n"/>
      <c r="C139" s="8" t="n"/>
      <c r="D139" s="19" t="n"/>
      <c r="E139" s="8" t="n"/>
      <c r="F139" s="20" t="n"/>
      <c r="G139" s="19" t="n"/>
      <c r="H139" s="21" t="str">
        <f>IF(A139="","",TEXT(A139,"YYYY-MM"))</f>
        <v/>
      </c>
    </row>
    <row r="140">
      <c r="A140" s="18" t="n"/>
      <c r="B140" s="8" t="n"/>
      <c r="C140" s="8" t="n"/>
      <c r="D140" s="19" t="n"/>
      <c r="E140" s="8" t="n"/>
      <c r="F140" s="20" t="n"/>
      <c r="G140" s="19" t="n"/>
      <c r="H140" s="21" t="str">
        <f>IF(A140="","",TEXT(A140,"YYYY-MM"))</f>
        <v/>
      </c>
    </row>
    <row r="141">
      <c r="A141" s="18" t="n"/>
      <c r="B141" s="8" t="n"/>
      <c r="C141" s="8" t="n"/>
      <c r="D141" s="19" t="n"/>
      <c r="E141" s="8" t="n"/>
      <c r="F141" s="20" t="n"/>
      <c r="G141" s="19" t="n"/>
      <c r="H141" s="21" t="str">
        <f>IF(A141="","",TEXT(A141,"YYYY-MM"))</f>
        <v/>
      </c>
    </row>
    <row r="142">
      <c r="A142" s="18" t="n"/>
      <c r="B142" s="8" t="n"/>
      <c r="C142" s="8" t="n"/>
      <c r="D142" s="19" t="n"/>
      <c r="E142" s="8" t="n"/>
      <c r="F142" s="20" t="n"/>
      <c r="G142" s="19" t="n"/>
      <c r="H142" s="21" t="str">
        <f>IF(A142="","",TEXT(A142,"YYYY-MM"))</f>
        <v/>
      </c>
    </row>
    <row r="143">
      <c r="A143" s="18" t="n"/>
      <c r="B143" s="8" t="n"/>
      <c r="C143" s="8" t="n"/>
      <c r="D143" s="19" t="n"/>
      <c r="E143" s="8" t="n"/>
      <c r="F143" s="20" t="n"/>
      <c r="G143" s="19" t="n"/>
      <c r="H143" s="21" t="str">
        <f>IF(A143="","",TEXT(A143,"YYYY-MM"))</f>
        <v/>
      </c>
    </row>
    <row r="144">
      <c r="A144" s="18" t="n"/>
      <c r="B144" s="8" t="n"/>
      <c r="C144" s="8" t="n"/>
      <c r="D144" s="19" t="n"/>
      <c r="E144" s="8" t="n"/>
      <c r="F144" s="20" t="n"/>
      <c r="G144" s="19" t="n"/>
      <c r="H144" s="21" t="str">
        <f>IF(A144="","",TEXT(A144,"YYYY-MM"))</f>
        <v/>
      </c>
    </row>
    <row r="145">
      <c r="A145" s="18" t="n"/>
      <c r="B145" s="8" t="n"/>
      <c r="C145" s="8" t="n"/>
      <c r="D145" s="19" t="n"/>
      <c r="E145" s="8" t="n"/>
      <c r="F145" s="20" t="n"/>
      <c r="G145" s="19" t="n"/>
      <c r="H145" s="21" t="str">
        <f>IF(A145="","",TEXT(A145,"YYYY-MM"))</f>
        <v/>
      </c>
    </row>
    <row r="146">
      <c r="A146" s="18" t="n"/>
      <c r="B146" s="8" t="n"/>
      <c r="C146" s="8" t="n"/>
      <c r="D146" s="19" t="n"/>
      <c r="E146" s="8" t="n"/>
      <c r="F146" s="20" t="n"/>
      <c r="G146" s="19" t="n"/>
      <c r="H146" s="21" t="str">
        <f>IF(A146="","",TEXT(A146,"YYYY-MM"))</f>
        <v/>
      </c>
    </row>
    <row r="147">
      <c r="A147" s="18" t="n"/>
      <c r="B147" s="8" t="n"/>
      <c r="C147" s="8" t="n"/>
      <c r="D147" s="19" t="n"/>
      <c r="E147" s="8" t="n"/>
      <c r="F147" s="20" t="n"/>
      <c r="G147" s="19" t="n"/>
      <c r="H147" s="21" t="str">
        <f>IF(A147="","",TEXT(A147,"YYYY-MM"))</f>
        <v/>
      </c>
    </row>
    <row r="148">
      <c r="A148" s="18" t="n"/>
      <c r="B148" s="8" t="n"/>
      <c r="C148" s="8" t="n"/>
      <c r="D148" s="19" t="n"/>
      <c r="E148" s="8" t="n"/>
      <c r="F148" s="20" t="n"/>
      <c r="G148" s="19" t="n"/>
      <c r="H148" s="21" t="str">
        <f>IF(A148="","",TEXT(A148,"YYYY-MM"))</f>
        <v/>
      </c>
    </row>
    <row r="149">
      <c r="A149" s="18" t="n"/>
      <c r="B149" s="8" t="n"/>
      <c r="C149" s="8" t="n"/>
      <c r="D149" s="19" t="n"/>
      <c r="E149" s="8" t="n"/>
      <c r="F149" s="20" t="n"/>
      <c r="G149" s="19" t="n"/>
      <c r="H149" s="21" t="str">
        <f>IF(A149="","",TEXT(A149,"YYYY-MM"))</f>
        <v/>
      </c>
    </row>
    <row r="150">
      <c r="A150" s="18" t="n"/>
      <c r="B150" s="8" t="n"/>
      <c r="C150" s="8" t="n"/>
      <c r="D150" s="19" t="n"/>
      <c r="E150" s="8" t="n"/>
      <c r="F150" s="20" t="n"/>
      <c r="G150" s="19" t="n"/>
      <c r="H150" s="21" t="str">
        <f>IF(A150="","",TEXT(A150,"YYYY-MM"))</f>
        <v/>
      </c>
    </row>
    <row r="151">
      <c r="A151" s="18" t="n"/>
      <c r="B151" s="8" t="n"/>
      <c r="C151" s="8" t="n"/>
      <c r="D151" s="19" t="n"/>
      <c r="E151" s="8" t="n"/>
      <c r="F151" s="20" t="n"/>
      <c r="G151" s="19" t="n"/>
      <c r="H151" s="21" t="str">
        <f>IF(A151="","",TEXT(A151,"YYYY-MM"))</f>
        <v/>
      </c>
    </row>
    <row r="152">
      <c r="A152" s="18" t="n"/>
      <c r="B152" s="8" t="n"/>
      <c r="C152" s="8" t="n"/>
      <c r="D152" s="19" t="n"/>
      <c r="E152" s="8" t="n"/>
      <c r="F152" s="20" t="n"/>
      <c r="G152" s="19" t="n"/>
      <c r="H152" s="21" t="str">
        <f>IF(A152="","",TEXT(A152,"YYYY-MM"))</f>
        <v/>
      </c>
    </row>
    <row r="153">
      <c r="A153" s="18" t="n"/>
      <c r="B153" s="8" t="n"/>
      <c r="C153" s="8" t="n"/>
      <c r="D153" s="19" t="n"/>
      <c r="E153" s="8" t="n"/>
      <c r="F153" s="20" t="n"/>
      <c r="G153" s="19" t="n"/>
      <c r="H153" s="21" t="str">
        <f>IF(A153="","",TEXT(A153,"YYYY-MM"))</f>
        <v/>
      </c>
    </row>
    <row r="154">
      <c r="A154" s="18" t="n"/>
      <c r="B154" s="8" t="n"/>
      <c r="C154" s="8" t="n"/>
      <c r="D154" s="19" t="n"/>
      <c r="E154" s="8" t="n"/>
      <c r="F154" s="20" t="n"/>
      <c r="G154" s="19" t="n"/>
      <c r="H154" s="21" t="str">
        <f>IF(A154="","",TEXT(A154,"YYYY-MM"))</f>
        <v/>
      </c>
    </row>
    <row r="155">
      <c r="A155" s="18" t="n"/>
      <c r="B155" s="8" t="n"/>
      <c r="C155" s="8" t="n"/>
      <c r="D155" s="19" t="n"/>
      <c r="E155" s="8" t="n"/>
      <c r="F155" s="20" t="n"/>
      <c r="G155" s="19" t="n"/>
      <c r="H155" s="21" t="str">
        <f>IF(A155="","",TEXT(A155,"YYYY-MM"))</f>
        <v/>
      </c>
    </row>
    <row r="156">
      <c r="A156" s="18" t="n"/>
      <c r="B156" s="8" t="n"/>
      <c r="C156" s="8" t="n"/>
      <c r="D156" s="19" t="n"/>
      <c r="E156" s="8" t="n"/>
      <c r="F156" s="20" t="n"/>
      <c r="G156" s="19" t="n"/>
      <c r="H156" s="21" t="str">
        <f>IF(A156="","",TEXT(A156,"YYYY-MM"))</f>
        <v/>
      </c>
    </row>
    <row r="157">
      <c r="A157" s="18" t="n"/>
      <c r="B157" s="8" t="n"/>
      <c r="C157" s="8" t="n"/>
      <c r="D157" s="19" t="n"/>
      <c r="E157" s="8" t="n"/>
      <c r="F157" s="20" t="n"/>
      <c r="G157" s="19" t="n"/>
      <c r="H157" s="21" t="str">
        <f>IF(A157="","",TEXT(A157,"YYYY-MM"))</f>
        <v/>
      </c>
    </row>
    <row r="158">
      <c r="A158" s="18" t="n"/>
      <c r="B158" s="8" t="n"/>
      <c r="C158" s="8" t="n"/>
      <c r="D158" s="19" t="n"/>
      <c r="E158" s="8" t="n"/>
      <c r="F158" s="20" t="n"/>
      <c r="G158" s="19" t="n"/>
      <c r="H158" s="21" t="str">
        <f>IF(A158="","",TEXT(A158,"YYYY-MM"))</f>
        <v/>
      </c>
    </row>
    <row r="159">
      <c r="A159" s="18" t="n"/>
      <c r="B159" s="8" t="n"/>
      <c r="C159" s="8" t="n"/>
      <c r="D159" s="19" t="n"/>
      <c r="E159" s="8" t="n"/>
      <c r="F159" s="20" t="n"/>
      <c r="G159" s="19" t="n"/>
      <c r="H159" s="21" t="str">
        <f>IF(A159="","",TEXT(A159,"YYYY-MM"))</f>
        <v/>
      </c>
    </row>
    <row r="160">
      <c r="A160" s="18" t="n"/>
      <c r="B160" s="8" t="n"/>
      <c r="C160" s="8" t="n"/>
      <c r="D160" s="19" t="n"/>
      <c r="E160" s="8" t="n"/>
      <c r="F160" s="20" t="n"/>
      <c r="G160" s="19" t="n"/>
      <c r="H160" s="21" t="str">
        <f>IF(A160="","",TEXT(A160,"YYYY-MM"))</f>
        <v/>
      </c>
    </row>
    <row r="161">
      <c r="A161" s="18" t="n"/>
      <c r="B161" s="8" t="n"/>
      <c r="C161" s="8" t="n"/>
      <c r="D161" s="19" t="n"/>
      <c r="E161" s="8" t="n"/>
      <c r="F161" s="20" t="n"/>
      <c r="G161" s="19" t="n"/>
      <c r="H161" s="21" t="str">
        <f>IF(A161="","",TEXT(A161,"YYYY-MM"))</f>
        <v/>
      </c>
    </row>
    <row r="162">
      <c r="A162" s="18" t="n"/>
      <c r="B162" s="8" t="n"/>
      <c r="C162" s="8" t="n"/>
      <c r="D162" s="19" t="n"/>
      <c r="E162" s="8" t="n"/>
      <c r="F162" s="20" t="n"/>
      <c r="G162" s="19" t="n"/>
      <c r="H162" s="21" t="str">
        <f>IF(A162="","",TEXT(A162,"YYYY-MM"))</f>
        <v/>
      </c>
    </row>
    <row r="163">
      <c r="A163" s="18" t="n"/>
      <c r="B163" s="8" t="n"/>
      <c r="C163" s="8" t="n"/>
      <c r="D163" s="19" t="n"/>
      <c r="E163" s="8" t="n"/>
      <c r="F163" s="20" t="n"/>
      <c r="G163" s="19" t="n"/>
      <c r="H163" s="21" t="str">
        <f>IF(A163="","",TEXT(A163,"YYYY-MM"))</f>
        <v/>
      </c>
    </row>
    <row r="164">
      <c r="A164" s="18" t="n"/>
      <c r="B164" s="8" t="n"/>
      <c r="C164" s="8" t="n"/>
      <c r="D164" s="19" t="n"/>
      <c r="E164" s="8" t="n"/>
      <c r="F164" s="20" t="n"/>
      <c r="G164" s="19" t="n"/>
      <c r="H164" s="21" t="str">
        <f>IF(A164="","",TEXT(A164,"YYYY-MM"))</f>
        <v/>
      </c>
    </row>
    <row r="165">
      <c r="A165" s="18" t="n"/>
      <c r="B165" s="8" t="n"/>
      <c r="C165" s="8" t="n"/>
      <c r="D165" s="19" t="n"/>
      <c r="E165" s="8" t="n"/>
      <c r="F165" s="20" t="n"/>
      <c r="G165" s="19" t="n"/>
      <c r="H165" s="21" t="str">
        <f>IF(A165="","",TEXT(A165,"YYYY-MM"))</f>
        <v/>
      </c>
    </row>
    <row r="166">
      <c r="A166" s="18" t="n"/>
      <c r="B166" s="8" t="n"/>
      <c r="C166" s="8" t="n"/>
      <c r="D166" s="19" t="n"/>
      <c r="E166" s="8" t="n"/>
      <c r="F166" s="20" t="n"/>
      <c r="G166" s="19" t="n"/>
      <c r="H166" s="21" t="str">
        <f>IF(A166="","",TEXT(A166,"YYYY-MM"))</f>
        <v/>
      </c>
    </row>
    <row r="167">
      <c r="A167" s="18" t="n"/>
      <c r="B167" s="8" t="n"/>
      <c r="C167" s="8" t="n"/>
      <c r="D167" s="19" t="n"/>
      <c r="E167" s="8" t="n"/>
      <c r="F167" s="20" t="n"/>
      <c r="G167" s="19" t="n"/>
      <c r="H167" s="21" t="str">
        <f>IF(A167="","",TEXT(A167,"YYYY-MM"))</f>
        <v/>
      </c>
    </row>
    <row r="168">
      <c r="A168" s="18" t="n"/>
      <c r="B168" s="8" t="n"/>
      <c r="C168" s="8" t="n"/>
      <c r="D168" s="19" t="n"/>
      <c r="E168" s="8" t="n"/>
      <c r="F168" s="20" t="n"/>
      <c r="G168" s="19" t="n"/>
      <c r="H168" s="21" t="str">
        <f>IF(A168="","",TEXT(A168,"YYYY-MM"))</f>
        <v/>
      </c>
    </row>
    <row r="169">
      <c r="A169" s="18" t="n"/>
      <c r="B169" s="8" t="n"/>
      <c r="C169" s="8" t="n"/>
      <c r="D169" s="19" t="n"/>
      <c r="E169" s="8" t="n"/>
      <c r="F169" s="20" t="n"/>
      <c r="G169" s="19" t="n"/>
      <c r="H169" s="21" t="str">
        <f>IF(A169="","",TEXT(A169,"YYYY-MM"))</f>
        <v/>
      </c>
    </row>
    <row r="170">
      <c r="A170" s="18" t="n"/>
      <c r="B170" s="8" t="n"/>
      <c r="C170" s="8" t="n"/>
      <c r="D170" s="19" t="n"/>
      <c r="E170" s="8" t="n"/>
      <c r="F170" s="20" t="n"/>
      <c r="G170" s="19" t="n"/>
      <c r="H170" s="21" t="str">
        <f>IF(A170="","",TEXT(A170,"YYYY-MM"))</f>
        <v/>
      </c>
    </row>
    <row r="171">
      <c r="A171" s="18" t="n"/>
      <c r="B171" s="8" t="n"/>
      <c r="C171" s="8" t="n"/>
      <c r="D171" s="19" t="n"/>
      <c r="E171" s="8" t="n"/>
      <c r="F171" s="20" t="n"/>
      <c r="G171" s="19" t="n"/>
      <c r="H171" s="21" t="str">
        <f>IF(A171="","",TEXT(A171,"YYYY-MM"))</f>
        <v/>
      </c>
    </row>
    <row r="172">
      <c r="A172" s="18" t="n"/>
      <c r="B172" s="8" t="n"/>
      <c r="C172" s="8" t="n"/>
      <c r="D172" s="19" t="n"/>
      <c r="E172" s="8" t="n"/>
      <c r="F172" s="20" t="n"/>
      <c r="G172" s="19" t="n"/>
      <c r="H172" s="21" t="str">
        <f>IF(A172="","",TEXT(A172,"YYYY-MM"))</f>
        <v/>
      </c>
    </row>
    <row r="173">
      <c r="A173" s="18" t="n"/>
      <c r="B173" s="8" t="n"/>
      <c r="C173" s="8" t="n"/>
      <c r="D173" s="19" t="n"/>
      <c r="E173" s="8" t="n"/>
      <c r="F173" s="20" t="n"/>
      <c r="G173" s="19" t="n"/>
      <c r="H173" s="21" t="str">
        <f>IF(A173="","",TEXT(A173,"YYYY-MM"))</f>
        <v/>
      </c>
    </row>
    <row r="174">
      <c r="A174" s="18" t="n"/>
      <c r="B174" s="8" t="n"/>
      <c r="C174" s="8" t="n"/>
      <c r="D174" s="19" t="n"/>
      <c r="E174" s="8" t="n"/>
      <c r="F174" s="20" t="n"/>
      <c r="G174" s="19" t="n"/>
      <c r="H174" s="21" t="str">
        <f>IF(A174="","",TEXT(A174,"YYYY-MM"))</f>
        <v/>
      </c>
    </row>
    <row r="175">
      <c r="A175" s="18" t="n"/>
      <c r="B175" s="8" t="n"/>
      <c r="C175" s="8" t="n"/>
      <c r="D175" s="19" t="n"/>
      <c r="E175" s="8" t="n"/>
      <c r="F175" s="20" t="n"/>
      <c r="G175" s="19" t="n"/>
      <c r="H175" s="21" t="str">
        <f>IF(A175="","",TEXT(A175,"YYYY-MM"))</f>
        <v/>
      </c>
    </row>
    <row r="176">
      <c r="A176" s="18" t="n"/>
      <c r="B176" s="8" t="n"/>
      <c r="C176" s="8" t="n"/>
      <c r="D176" s="19" t="n"/>
      <c r="E176" s="8" t="n"/>
      <c r="F176" s="20" t="n"/>
      <c r="G176" s="19" t="n"/>
      <c r="H176" s="21" t="str">
        <f>IF(A176="","",TEXT(A176,"YYYY-MM"))</f>
        <v/>
      </c>
    </row>
    <row r="177">
      <c r="A177" s="18" t="n"/>
      <c r="B177" s="8" t="n"/>
      <c r="C177" s="8" t="n"/>
      <c r="D177" s="19" t="n"/>
      <c r="E177" s="8" t="n"/>
      <c r="F177" s="20" t="n"/>
      <c r="G177" s="19" t="n"/>
      <c r="H177" s="21" t="str">
        <f>IF(A177="","",TEXT(A177,"YYYY-MM"))</f>
        <v/>
      </c>
    </row>
    <row r="178">
      <c r="A178" s="18" t="n"/>
      <c r="B178" s="8" t="n"/>
      <c r="C178" s="8" t="n"/>
      <c r="D178" s="19" t="n"/>
      <c r="E178" s="8" t="n"/>
      <c r="F178" s="20" t="n"/>
      <c r="G178" s="19" t="n"/>
      <c r="H178" s="21" t="str">
        <f>IF(A178="","",TEXT(A178,"YYYY-MM"))</f>
        <v/>
      </c>
    </row>
    <row r="179">
      <c r="A179" s="18" t="n"/>
      <c r="B179" s="8" t="n"/>
      <c r="C179" s="8" t="n"/>
      <c r="D179" s="19" t="n"/>
      <c r="E179" s="8" t="n"/>
      <c r="F179" s="20" t="n"/>
      <c r="G179" s="19" t="n"/>
      <c r="H179" s="21" t="str">
        <f>IF(A179="","",TEXT(A179,"YYYY-MM"))</f>
        <v/>
      </c>
    </row>
    <row r="180">
      <c r="A180" s="18" t="n"/>
      <c r="B180" s="8" t="n"/>
      <c r="C180" s="8" t="n"/>
      <c r="D180" s="19" t="n"/>
      <c r="E180" s="8" t="n"/>
      <c r="F180" s="20" t="n"/>
      <c r="G180" s="19" t="n"/>
      <c r="H180" s="21" t="str">
        <f>IF(A180="","",TEXT(A180,"YYYY-MM"))</f>
        <v/>
      </c>
    </row>
    <row r="181">
      <c r="A181" s="18" t="n"/>
      <c r="B181" s="8" t="n"/>
      <c r="C181" s="8" t="n"/>
      <c r="D181" s="19" t="n"/>
      <c r="E181" s="8" t="n"/>
      <c r="F181" s="20" t="n"/>
      <c r="G181" s="19" t="n"/>
      <c r="H181" s="21" t="str">
        <f>IF(A181="","",TEXT(A181,"YYYY-MM"))</f>
        <v/>
      </c>
    </row>
    <row r="182">
      <c r="A182" s="18" t="n"/>
      <c r="B182" s="8" t="n"/>
      <c r="C182" s="8" t="n"/>
      <c r="D182" s="19" t="n"/>
      <c r="E182" s="8" t="n"/>
      <c r="F182" s="20" t="n"/>
      <c r="G182" s="19" t="n"/>
      <c r="H182" s="21" t="str">
        <f>IF(A182="","",TEXT(A182,"YYYY-MM"))</f>
        <v/>
      </c>
    </row>
    <row r="183">
      <c r="A183" s="18" t="n"/>
      <c r="B183" s="8" t="n"/>
      <c r="C183" s="8" t="n"/>
      <c r="D183" s="19" t="n"/>
      <c r="E183" s="8" t="n"/>
      <c r="F183" s="20" t="n"/>
      <c r="G183" s="19" t="n"/>
      <c r="H183" s="21" t="str">
        <f>IF(A183="","",TEXT(A183,"YYYY-MM"))</f>
        <v/>
      </c>
    </row>
    <row r="184">
      <c r="A184" s="18" t="n"/>
      <c r="B184" s="8" t="n"/>
      <c r="C184" s="8" t="n"/>
      <c r="D184" s="19" t="n"/>
      <c r="E184" s="8" t="n"/>
      <c r="F184" s="20" t="n"/>
      <c r="G184" s="19" t="n"/>
      <c r="H184" s="21" t="str">
        <f>IF(A184="","",TEXT(A184,"YYYY-MM"))</f>
        <v/>
      </c>
    </row>
    <row r="185">
      <c r="A185" s="18" t="n"/>
      <c r="B185" s="8" t="n"/>
      <c r="C185" s="8" t="n"/>
      <c r="D185" s="19" t="n"/>
      <c r="E185" s="8" t="n"/>
      <c r="F185" s="20" t="n"/>
      <c r="G185" s="19" t="n"/>
      <c r="H185" s="21" t="str">
        <f>IF(A185="","",TEXT(A185,"YYYY-MM"))</f>
        <v/>
      </c>
    </row>
    <row r="186">
      <c r="A186" s="18" t="n"/>
      <c r="B186" s="8" t="n"/>
      <c r="C186" s="8" t="n"/>
      <c r="D186" s="19" t="n"/>
      <c r="E186" s="8" t="n"/>
      <c r="F186" s="20" t="n"/>
      <c r="G186" s="19" t="n"/>
      <c r="H186" s="21" t="str">
        <f>IF(A186="","",TEXT(A186,"YYYY-MM"))</f>
        <v/>
      </c>
    </row>
    <row r="187">
      <c r="A187" s="18" t="n"/>
      <c r="B187" s="8" t="n"/>
      <c r="C187" s="8" t="n"/>
      <c r="D187" s="19" t="n"/>
      <c r="E187" s="8" t="n"/>
      <c r="F187" s="20" t="n"/>
      <c r="G187" s="19" t="n"/>
      <c r="H187" s="21" t="str">
        <f>IF(A187="","",TEXT(A187,"YYYY-MM"))</f>
        <v/>
      </c>
    </row>
    <row r="188">
      <c r="A188" s="18" t="n"/>
      <c r="B188" s="8" t="n"/>
      <c r="C188" s="8" t="n"/>
      <c r="D188" s="19" t="n"/>
      <c r="E188" s="8" t="n"/>
      <c r="F188" s="20" t="n"/>
      <c r="G188" s="19" t="n"/>
      <c r="H188" s="21" t="str">
        <f>IF(A188="","",TEXT(A188,"YYYY-MM"))</f>
        <v/>
      </c>
    </row>
    <row r="189">
      <c r="A189" s="18" t="n"/>
      <c r="B189" s="8" t="n"/>
      <c r="C189" s="8" t="n"/>
      <c r="D189" s="19" t="n"/>
      <c r="E189" s="8" t="n"/>
      <c r="F189" s="20" t="n"/>
      <c r="G189" s="19" t="n"/>
      <c r="H189" s="21" t="str">
        <f>IF(A189="","",TEXT(A189,"YYYY-MM"))</f>
        <v/>
      </c>
    </row>
    <row r="190">
      <c r="A190" s="18" t="n"/>
      <c r="B190" s="8" t="n"/>
      <c r="C190" s="8" t="n"/>
      <c r="D190" s="19" t="n"/>
      <c r="E190" s="8" t="n"/>
      <c r="F190" s="20" t="n"/>
      <c r="G190" s="19" t="n"/>
      <c r="H190" s="21" t="str">
        <f>IF(A190="","",TEXT(A190,"YYYY-MM"))</f>
        <v/>
      </c>
    </row>
    <row r="191">
      <c r="A191" s="18" t="n"/>
      <c r="B191" s="8" t="n"/>
      <c r="C191" s="8" t="n"/>
      <c r="D191" s="19" t="n"/>
      <c r="E191" s="8" t="n"/>
      <c r="F191" s="20" t="n"/>
      <c r="G191" s="19" t="n"/>
      <c r="H191" s="21" t="str">
        <f>IF(A191="","",TEXT(A191,"YYYY-MM"))</f>
        <v/>
      </c>
    </row>
    <row r="192">
      <c r="A192" s="18" t="n"/>
      <c r="B192" s="8" t="n"/>
      <c r="C192" s="8" t="n"/>
      <c r="D192" s="19" t="n"/>
      <c r="E192" s="8" t="n"/>
      <c r="F192" s="20" t="n"/>
      <c r="G192" s="19" t="n"/>
      <c r="H192" s="21" t="str">
        <f>IF(A192="","",TEXT(A192,"YYYY-MM"))</f>
        <v/>
      </c>
    </row>
    <row r="193">
      <c r="A193" s="18" t="n"/>
      <c r="B193" s="8" t="n"/>
      <c r="C193" s="8" t="n"/>
      <c r="D193" s="19" t="n"/>
      <c r="E193" s="8" t="n"/>
      <c r="F193" s="20" t="n"/>
      <c r="G193" s="19" t="n"/>
      <c r="H193" s="21" t="str">
        <f>IF(A193="","",TEXT(A193,"YYYY-MM"))</f>
        <v/>
      </c>
    </row>
    <row r="194">
      <c r="A194" s="18" t="n"/>
      <c r="B194" s="8" t="n"/>
      <c r="C194" s="8" t="n"/>
      <c r="D194" s="19" t="n"/>
      <c r="E194" s="8" t="n"/>
      <c r="F194" s="20" t="n"/>
      <c r="G194" s="19" t="n"/>
      <c r="H194" s="21" t="str">
        <f>IF(A194="","",TEXT(A194,"YYYY-MM"))</f>
        <v/>
      </c>
    </row>
    <row r="195">
      <c r="A195" s="18" t="n"/>
      <c r="B195" s="8" t="n"/>
      <c r="C195" s="8" t="n"/>
      <c r="D195" s="19" t="n"/>
      <c r="E195" s="8" t="n"/>
      <c r="F195" s="20" t="n"/>
      <c r="G195" s="19" t="n"/>
      <c r="H195" s="21" t="str">
        <f>IF(A195="","",TEXT(A195,"YYYY-MM"))</f>
        <v/>
      </c>
    </row>
    <row r="196">
      <c r="A196" s="18" t="n"/>
      <c r="B196" s="8" t="n"/>
      <c r="C196" s="8" t="n"/>
      <c r="D196" s="19" t="n"/>
      <c r="E196" s="8" t="n"/>
      <c r="F196" s="20" t="n"/>
      <c r="G196" s="19" t="n"/>
      <c r="H196" s="21" t="str">
        <f>IF(A196="","",TEXT(A196,"YYYY-MM"))</f>
        <v/>
      </c>
    </row>
    <row r="197">
      <c r="A197" s="18" t="n"/>
      <c r="B197" s="8" t="n"/>
      <c r="C197" s="8" t="n"/>
      <c r="D197" s="19" t="n"/>
      <c r="E197" s="8" t="n"/>
      <c r="F197" s="20" t="n"/>
      <c r="G197" s="19" t="n"/>
      <c r="H197" s="21" t="str">
        <f>IF(A197="","",TEXT(A197,"YYYY-MM"))</f>
        <v/>
      </c>
    </row>
    <row r="198">
      <c r="A198" s="18" t="n"/>
      <c r="B198" s="8" t="n"/>
      <c r="C198" s="8" t="n"/>
      <c r="D198" s="19" t="n"/>
      <c r="E198" s="8" t="n"/>
      <c r="F198" s="20" t="n"/>
      <c r="G198" s="19" t="n"/>
      <c r="H198" s="21" t="str">
        <f>IF(A198="","",TEXT(A198,"YYYY-MM"))</f>
        <v/>
      </c>
    </row>
    <row r="199">
      <c r="A199" s="18" t="n"/>
      <c r="B199" s="8" t="n"/>
      <c r="C199" s="8" t="n"/>
      <c r="D199" s="19" t="n"/>
      <c r="E199" s="8" t="n"/>
      <c r="F199" s="20" t="n"/>
      <c r="G199" s="19" t="n"/>
      <c r="H199" s="21" t="str">
        <f>IF(A199="","",TEXT(A199,"YYYY-MM"))</f>
        <v/>
      </c>
    </row>
    <row r="200">
      <c r="A200" s="18" t="n"/>
      <c r="B200" s="8" t="n"/>
      <c r="C200" s="8" t="n"/>
      <c r="D200" s="19" t="n"/>
      <c r="E200" s="8" t="n"/>
      <c r="F200" s="20" t="n"/>
      <c r="G200" s="19" t="n"/>
      <c r="H200" s="21" t="str">
        <f>IF(A200="","",TEXT(A200,"YYYY-MM"))</f>
        <v/>
      </c>
    </row>
    <row r="201">
      <c r="A201" s="18" t="n"/>
      <c r="B201" s="8" t="n"/>
      <c r="C201" s="8" t="n"/>
      <c r="D201" s="19" t="n"/>
      <c r="E201" s="8" t="n"/>
      <c r="F201" s="20" t="n"/>
      <c r="G201" s="19" t="n"/>
      <c r="H201" s="21" t="str">
        <f>IF(A201="","",TEXT(A201,"YYYY-MM"))</f>
        <v/>
      </c>
    </row>
    <row r="202">
      <c r="A202" s="18" t="n"/>
      <c r="B202" s="8" t="n"/>
      <c r="C202" s="8" t="n"/>
      <c r="D202" s="19" t="n"/>
      <c r="E202" s="8" t="n"/>
      <c r="F202" s="20" t="n"/>
      <c r="G202" s="19" t="n"/>
      <c r="H202" s="21" t="str">
        <f>IF(A202="","",TEXT(A202,"YYYY-MM"))</f>
        <v/>
      </c>
    </row>
    <row r="203">
      <c r="A203" s="18" t="n"/>
      <c r="B203" s="8" t="n"/>
      <c r="C203" s="8" t="n"/>
      <c r="D203" s="19" t="n"/>
      <c r="E203" s="8" t="n"/>
      <c r="F203" s="20" t="n"/>
      <c r="G203" s="19" t="n"/>
      <c r="H203" s="21" t="str">
        <f>IF(A203="","",TEXT(A203,"YYYY-MM"))</f>
        <v/>
      </c>
    </row>
    <row r="204">
      <c r="A204" s="18" t="n"/>
      <c r="B204" s="8" t="n"/>
      <c r="C204" s="8" t="n"/>
      <c r="D204" s="19" t="n"/>
      <c r="E204" s="8" t="n"/>
      <c r="F204" s="20" t="n"/>
      <c r="G204" s="19" t="n"/>
      <c r="H204" s="21" t="str">
        <f>IF(A204="","",TEXT(A204,"YYYY-MM"))</f>
        <v/>
      </c>
    </row>
    <row r="205">
      <c r="A205" s="18" t="n"/>
      <c r="B205" s="8" t="n"/>
      <c r="C205" s="8" t="n"/>
      <c r="D205" s="19" t="n"/>
      <c r="E205" s="8" t="n"/>
      <c r="F205" s="20" t="n"/>
      <c r="G205" s="19" t="n"/>
      <c r="H205" s="21" t="str">
        <f>IF(A205="","",TEXT(A205,"YYYY-MM"))</f>
        <v/>
      </c>
    </row>
    <row r="206">
      <c r="A206" s="18" t="n"/>
      <c r="B206" s="8" t="n"/>
      <c r="C206" s="8" t="n"/>
      <c r="D206" s="19" t="n"/>
      <c r="E206" s="8" t="n"/>
      <c r="F206" s="20" t="n"/>
      <c r="G206" s="19" t="n"/>
      <c r="H206" s="21" t="str">
        <f>IF(A206="","",TEXT(A206,"YYYY-MM"))</f>
        <v/>
      </c>
    </row>
    <row r="207">
      <c r="A207" s="18" t="n"/>
      <c r="B207" s="8" t="n"/>
      <c r="C207" s="8" t="n"/>
      <c r="D207" s="19" t="n"/>
      <c r="E207" s="8" t="n"/>
      <c r="F207" s="20" t="n"/>
      <c r="G207" s="19" t="n"/>
      <c r="H207" s="21" t="str">
        <f>IF(A207="","",TEXT(A207,"YYYY-MM"))</f>
        <v/>
      </c>
    </row>
    <row r="208">
      <c r="A208" s="11" t="inlineStr">
        <is>
          <t>TOTALS (all rows above)</t>
        </is>
      </c>
      <c r="F208" s="22" t="n">
        <f>SUM(F5:F207)</f>
        <v>6.25</v>
      </c>
    </row>
  </sheetData>
  <autoFilter ref="A4:H207"/>
  <mergeCells count="2">
    <mergeCell ref="A2:H2"/>
    <mergeCell ref="A1:H1"/>
  </mergeCells>
  <conditionalFormatting sqref="E5:E207">
    <cfRule type="cellIs" priority="1" operator="equal" dxfId="0">
      <formula>"Investor-type"</formula>
    </cfRule>
  </conditionalFormatting>
  <dataValidations count="2">
    <dataValidation sqref="E5:E207" showDropDown="0" showInputMessage="0" showErrorMessage="0" allowBlank="1" prompt="Pick the honest category" type="list">
      <formula1>"Counts - operational,Investor-type,Personal - does not count"</formula1>
    </dataValidation>
    <dataValidation sqref="B5:B207" showDropDown="0" showInputMessage="0" showErrorMessage="0" allowBlank="1" type="list">
      <formula1>"Brandy Morgan,Jason Morgan"</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F23"/>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18" customWidth="1" min="3" max="3"/>
    <col width="44" customWidth="1" min="4" max="4"/>
    <col width="18" customWidth="1" min="5" max="5"/>
    <col width="18" customWidth="1" min="6" max="6"/>
  </cols>
  <sheetData>
    <row r="1" ht="28" customHeight="1">
      <c r="A1" s="1" t="inlineStr">
        <is>
          <t>HOURS TESTS — your live grade (no typing here, except the two yellow boxes)</t>
        </is>
      </c>
    </row>
    <row r="2" ht="30" customHeight="1">
      <c r="A2" s="2" t="inlineStr">
        <is>
          <t>These grades read straight from the Hours Log + Setup. A 'NEED' in October is fixable; the same 'NEED' discovered in April is not. Check monthly.</t>
        </is>
      </c>
    </row>
    <row r="4">
      <c r="A4" s="23" t="inlineStr">
        <is>
          <t>REAL ESTATE PROFESSIONAL STATUS (REPS) — the person named on Setup row 6 (Brandy)</t>
        </is>
      </c>
    </row>
    <row r="5" ht="32" customHeight="1">
      <c r="A5" s="24" t="inlineStr">
        <is>
          <t>Brandy — 'Counts - operational' hours (from log)</t>
        </is>
      </c>
      <c r="B5" s="25" t="n">
        <f>SUMIFS('HOURS LOG'!F:F,'HOURS LOG'!B:B,'SETUP &amp; INPUTS'!B6,'HOURS LOG'!E:E,"Counts - operational")</f>
        <v>5.5</v>
      </c>
      <c r="C5" s="9" t="inlineStr">
        <is>
          <t>These are the only hours the IRS counts here. Investor-type hours are excluded on purpose.</t>
        </is>
      </c>
    </row>
    <row r="6" ht="32" customHeight="1">
      <c r="A6" s="24" t="inlineStr">
        <is>
          <t>Brandy — Investor-type hours (logged, NOT counted)</t>
        </is>
      </c>
      <c r="B6" s="25" t="n">
        <f>SUMIFS('HOURS LOG'!F:F,'HOURS LOG'!B:B,'SETUP &amp; INPUTS'!B6,'HOURS LOG'!E:E,"Investor-type")</f>
        <v>0.75</v>
      </c>
      <c r="C6" s="9" t="inlineStr">
        <is>
          <t>If this is bigger than the row above, the log itself is the problem — rebalance toward hands-on work.</t>
        </is>
      </c>
    </row>
    <row r="7" ht="32" customHeight="1">
      <c r="A7" s="24" t="inlineStr">
        <is>
          <t>TEST 1 — More than 750 hours?</t>
        </is>
      </c>
      <c r="B7" s="26" t="str">
        <f>IF(B5&gt;750,"PASS","NEED "&amp;TEXT(750-B5,"0")&amp;" more hrs")</f>
        <v>NEED 745 more hrs</v>
      </c>
      <c r="C7" s="9" t="inlineStr">
        <is>
          <t>IRS Sec. 469(c)(7): must perform MORE than 750 hours in real-property trades/businesses you materially participate in.</t>
        </is>
      </c>
      <c r="D7" s="27" t="n"/>
      <c r="E7" s="27" t="n"/>
      <c r="F7" s="27" t="n"/>
    </row>
    <row r="8" ht="32" customHeight="1">
      <c r="A8" s="24" t="inlineStr">
        <is>
          <t>TEST 2 — More than half of ALL your working time?</t>
        </is>
      </c>
      <c r="B8" s="28" t="str">
        <f>IF((B5/(B5+'SETUP &amp; INPUTS'!B8))&gt;0.5,"PASS — "&amp;TEXT(B5/(B5+'SETUP &amp; INPUTS'!B8),"0%")&amp;" in real estate","NEED — only "&amp;TEXT(IF((B5+'SETUP &amp; INPUTS'!B8)=0,0,B5/(B5+'SETUP &amp; INPUTS'!B8)),"0%")&amp;" in real estate")</f>
        <v>PASS — 100% in real estate</v>
      </c>
      <c r="C8" s="9" t="inlineStr">
        <is>
          <t>More than half of personal services in ALL trades/businesses must be real-property work. Outside-job hours come from Setup.</t>
        </is>
      </c>
      <c r="D8" s="27" t="n"/>
      <c r="E8" s="27" t="n"/>
      <c r="F8" s="27" t="n"/>
    </row>
    <row r="9" ht="32" customHeight="1">
      <c r="A9" s="24" t="inlineStr">
        <is>
          <t>REPS overall</t>
        </is>
      </c>
      <c r="B9" s="26" t="str">
        <f>IF(AND(B7="PASS",LEFT(B8,4)="PASS"),"PASS — REPS met (still need material participation per property/group below)","NOT YET")</f>
        <v>NOT YET</v>
      </c>
      <c r="C9" s="9" t="inlineStr">
        <is>
          <t>BOTH tests must pass in the same year, for the same person. On a joint return, one spouse passing unlocks the family's rental losses.</t>
        </is>
      </c>
      <c r="D9" s="27" t="n"/>
      <c r="E9" s="27" t="n"/>
      <c r="F9" s="27" t="n"/>
    </row>
    <row r="11">
      <c r="A11" s="23" t="inlineStr">
        <is>
          <t>MATERIAL PARTICIPATION — per property (REPS alone is not enough; you must also materially participate in the rental activity)</t>
        </is>
      </c>
    </row>
    <row r="12">
      <c r="A12" s="6" t="inlineStr">
        <is>
          <t>Property (from Setup)</t>
        </is>
      </c>
      <c r="B12" s="6" t="inlineStr">
        <is>
          <t>Brandy 'Counts' hrs</t>
        </is>
      </c>
      <c r="C12" s="6" t="inlineStr">
        <is>
          <t>500-hr test</t>
        </is>
      </c>
      <c r="D12" s="6" t="inlineStr">
        <is>
          <t>Most hours by ANY other person (cleaner/manager) — type it</t>
        </is>
      </c>
      <c r="E12" s="6" t="inlineStr">
        <is>
          <t>100-hr test (&gt;100 &amp; more than anyone else)</t>
        </is>
      </c>
      <c r="F12" s="6" t="inlineStr">
        <is>
          <t>Property verdict</t>
        </is>
      </c>
    </row>
    <row r="13">
      <c r="A13" s="21" t="str">
        <f>'SETUP &amp; INPUTS'!A18</f>
        <v>308 Paula</v>
      </c>
      <c r="B13" s="29" t="n">
        <f>SUMIFS('HOURS LOG'!F:F,'HOURS LOG'!C:C,A13,'HOURS LOG'!B:B,'SETUP &amp; INPUTS'!B6,'HOURS LOG'!E:E,"Counts - operational")</f>
        <v>2.5</v>
      </c>
      <c r="C13" s="30" t="str">
        <f>IF(B13&gt;500,"PASS","—")</f>
        <v>—</v>
      </c>
      <c r="D13" s="31" t="n">
        <v>0</v>
      </c>
      <c r="E13" s="30" t="str">
        <f>IF(AND(B13&gt;100,B13&gt;D13),"PASS","—")</f>
        <v>—</v>
      </c>
      <c r="F13" s="28" t="str">
        <f>IF(OR(C13="PASS",E13="PASS"),"MATERIALLY PARTICIPATES","Not yet")</f>
        <v>Not yet</v>
      </c>
    </row>
    <row r="14">
      <c r="A14" s="21" t="str">
        <f>'SETUP &amp; INPUTS'!A19</f>
        <v>4800 Kent Ave, Groves TX</v>
      </c>
      <c r="B14" s="29" t="n">
        <f>SUMIFS('HOURS LOG'!F:F,'HOURS LOG'!C:C,A14,'HOURS LOG'!B:B,'SETUP &amp; INPUTS'!B6,'HOURS LOG'!E:E,"Counts - operational")</f>
        <v>3</v>
      </c>
      <c r="C14" s="30" t="str">
        <f>IF(B14&gt;500,"PASS","—")</f>
        <v>—</v>
      </c>
      <c r="D14" s="31" t="n">
        <v>0</v>
      </c>
      <c r="E14" s="30" t="str">
        <f>IF(AND(B14&gt;100,B14&gt;D14),"PASS","—")</f>
        <v>—</v>
      </c>
      <c r="F14" s="28" t="str">
        <f>IF(OR(C14="PASS",E14="PASS"),"MATERIALLY PARTICIPATES","Not yet")</f>
        <v>Not yet</v>
      </c>
    </row>
    <row r="15">
      <c r="A15" s="21" t="str">
        <f>'SETUP &amp; INPUTS'!A20</f>
        <v>Property 3</v>
      </c>
      <c r="B15" s="29" t="n">
        <f>SUMIFS('HOURS LOG'!F:F,'HOURS LOG'!C:C,A15,'HOURS LOG'!B:B,'SETUP &amp; INPUTS'!B6,'HOURS LOG'!E:E,"Counts - operational")</f>
        <v>0</v>
      </c>
      <c r="C15" s="30" t="str">
        <f>IF(B15&gt;500,"PASS","—")</f>
        <v>—</v>
      </c>
      <c r="D15" s="31" t="n">
        <v>0</v>
      </c>
      <c r="E15" s="30" t="str">
        <f>IF(AND(B15&gt;100,B15&gt;D15),"PASS","—")</f>
        <v>—</v>
      </c>
      <c r="F15" s="28" t="str">
        <f>IF(OR(C15="PASS",E15="PASS"),"MATERIALLY PARTICIPATES","Not yet")</f>
        <v>Not yet</v>
      </c>
    </row>
    <row r="16">
      <c r="A16" s="21" t="str">
        <f>'SETUP &amp; INPUTS'!A21</f>
        <v>Property 4</v>
      </c>
      <c r="B16" s="29" t="n">
        <f>SUMIFS('HOURS LOG'!F:F,'HOURS LOG'!C:C,A16,'HOURS LOG'!B:B,'SETUP &amp; INPUTS'!B6,'HOURS LOG'!E:E,"Counts - operational")</f>
        <v>0</v>
      </c>
      <c r="C16" s="30" t="str">
        <f>IF(B16&gt;500,"PASS","—")</f>
        <v>—</v>
      </c>
      <c r="D16" s="31" t="n">
        <v>0</v>
      </c>
      <c r="E16" s="30" t="str">
        <f>IF(AND(B16&gt;100,B16&gt;D16),"PASS","—")</f>
        <v>—</v>
      </c>
      <c r="F16" s="28" t="str">
        <f>IF(OR(C16="PASS",E16="PASS"),"MATERIALLY PARTICIPATES","Not yet")</f>
        <v>Not yet</v>
      </c>
    </row>
    <row r="17">
      <c r="A17" s="21" t="str">
        <f>'SETUP &amp; INPUTS'!A22</f>
        <v>Property 5</v>
      </c>
      <c r="B17" s="29" t="n">
        <f>SUMIFS('HOURS LOG'!F:F,'HOURS LOG'!C:C,A17,'HOURS LOG'!B:B,'SETUP &amp; INPUTS'!B6,'HOURS LOG'!E:E,"Counts - operational")</f>
        <v>0</v>
      </c>
      <c r="C17" s="30" t="str">
        <f>IF(B17&gt;500,"PASS","—")</f>
        <v>—</v>
      </c>
      <c r="D17" s="31" t="n">
        <v>0</v>
      </c>
      <c r="E17" s="30" t="str">
        <f>IF(AND(B17&gt;100,B17&gt;D17),"PASS","—")</f>
        <v>—</v>
      </c>
      <c r="F17" s="28" t="str">
        <f>IF(OR(C17="PASS",E17="PASS"),"MATERIALLY PARTICIPATES","Not yet")</f>
        <v>Not yet</v>
      </c>
    </row>
    <row r="18">
      <c r="A18" s="21" t="str">
        <f>'SETUP &amp; INPUTS'!A23</f>
        <v>Property 6</v>
      </c>
      <c r="B18" s="29" t="n">
        <f>SUMIFS('HOURS LOG'!F:F,'HOURS LOG'!C:C,A18,'HOURS LOG'!B:B,'SETUP &amp; INPUTS'!B6,'HOURS LOG'!E:E,"Counts - operational")</f>
        <v>0</v>
      </c>
      <c r="C18" s="30" t="str">
        <f>IF(B18&gt;500,"PASS","—")</f>
        <v>—</v>
      </c>
      <c r="D18" s="31" t="n">
        <v>0</v>
      </c>
      <c r="E18" s="30" t="str">
        <f>IF(AND(B18&gt;100,B18&gt;D18),"PASS","—")</f>
        <v>—</v>
      </c>
      <c r="F18" s="28" t="str">
        <f>IF(OR(C18="PASS",E18="PASS"),"MATERIALLY PARTICIPATES","Not yet")</f>
        <v>Not yet</v>
      </c>
    </row>
    <row r="20" ht="44" customHeight="1">
      <c r="A20" s="32" t="inlineStr">
        <is>
          <t>If the Grouping election on SETUP is 'Yes', judge material participation on the COMBINED hours across all properties instead of per-property. The election is formal (statement attached to the return) — do not assume it.</t>
        </is>
      </c>
    </row>
    <row r="21" ht="44" customHeight="1">
      <c r="A21" s="32" t="inlineStr">
        <is>
          <t>THE OTHER MATERIAL-PARTICIPATION TESTS (any ONE is enough — IRS Pub. 925):  1) &gt;500 hrs in the activity  2) You do substantially all the work  3) &gt;100 hrs and no one else does more  4) Significant-participation activities total &gt;500 hrs  5) You materially participated in 5 of the prior 10 years  6) Personal-service activity you participated in for 3 prior years  7) Facts-and-circumstances: regular, continuous, substantial involvement (&gt;100 hrs, nobody else paid more).   For SHORT-TERM rentals (7-day rule), use the same tests — but you do NOT need REPS at all; material participation alone makes STR losses non-passive.</t>
        </is>
      </c>
    </row>
    <row r="22"/>
    <row r="23"/>
  </sheetData>
  <mergeCells count="11">
    <mergeCell ref="A2:F2"/>
    <mergeCell ref="C9:F9"/>
    <mergeCell ref="A11:F11"/>
    <mergeCell ref="C8:F8"/>
    <mergeCell ref="A1:F1"/>
    <mergeCell ref="C6:F6"/>
    <mergeCell ref="C7:F7"/>
    <mergeCell ref="A21:F23"/>
    <mergeCell ref="A4:F4"/>
    <mergeCell ref="A20:F20"/>
    <mergeCell ref="C5:F5"/>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K207"/>
  <sheetViews>
    <sheetView workbookViewId="0">
      <pane ySplit="4" topLeftCell="A5" activePane="bottomLeft" state="frozen"/>
      <selection pane="bottomLeft" activeCell="A1" sqref="A1"/>
    </sheetView>
  </sheetViews>
  <sheetFormatPr baseColWidth="8" defaultRowHeight="15"/>
  <cols>
    <col width="13" customWidth="1" min="1" max="1"/>
    <col width="15" customWidth="1" min="2" max="2"/>
    <col width="14" customWidth="1" min="3" max="3"/>
    <col width="20" customWidth="1" min="4" max="4"/>
    <col width="22" customWidth="1" min="5" max="5"/>
    <col width="30" customWidth="1" min="6" max="6"/>
    <col width="13" customWidth="1" min="7" max="7"/>
    <col width="14" customWidth="1" min="8" max="8"/>
    <col width="11" customWidth="1" min="9" max="9"/>
    <col width="11" customWidth="1" min="10" max="10"/>
    <col width="11" customWidth="1" min="11" max="11"/>
  </cols>
  <sheetData>
    <row r="1" ht="28" customHeight="1">
      <c r="A1" s="1" t="inlineStr">
        <is>
          <t>MILEAGE LOG — MileIQ does the counting, this sheet does the tax math</t>
        </is>
      </c>
    </row>
    <row r="2" ht="30" customHeight="1">
      <c r="A2" s="2" t="inlineStr">
        <is>
          <t>Paste your MileIQ export monthly, or type trips in. IRS wants: date, destination, business purpose, miles. Commuting (home to your regular workplace) is never deductible — it goes in Personal.</t>
        </is>
      </c>
    </row>
    <row r="4">
      <c r="A4" s="6" t="inlineStr">
        <is>
          <t>Date</t>
        </is>
      </c>
      <c r="B4" s="6" t="inlineStr">
        <is>
          <t>Driver</t>
        </is>
      </c>
      <c r="C4" s="6" t="inlineStr">
        <is>
          <t>Vehicle</t>
        </is>
      </c>
      <c r="D4" s="6" t="inlineStr">
        <is>
          <t>From</t>
        </is>
      </c>
      <c r="E4" s="6" t="inlineStr">
        <is>
          <t>To / Property</t>
        </is>
      </c>
      <c r="F4" s="6" t="inlineStr">
        <is>
          <t>Business purpose (specific)</t>
        </is>
      </c>
      <c r="G4" s="6" t="inlineStr">
        <is>
          <t>Business Miles</t>
        </is>
      </c>
      <c r="H4" s="6" t="inlineStr">
        <is>
          <t>Personal / Commute Miles</t>
        </is>
      </c>
      <c r="I4" s="6" t="inlineStr">
        <is>
          <t>Total Miles</t>
        </is>
      </c>
      <c r="J4" s="6" t="inlineStr">
        <is>
          <t>Source</t>
        </is>
      </c>
      <c r="K4" s="6" t="inlineStr">
        <is>
          <t>Month</t>
        </is>
      </c>
    </row>
    <row r="5">
      <c r="A5" s="14" t="inlineStr">
        <is>
          <t>2026-01-05</t>
        </is>
      </c>
      <c r="B5" s="14" t="inlineStr">
        <is>
          <t>Brandy Morgan</t>
        </is>
      </c>
      <c r="C5" s="14" t="inlineStr">
        <is>
          <t>Truck</t>
        </is>
      </c>
      <c r="D5" s="15" t="inlineStr">
        <is>
          <t>Home office</t>
        </is>
      </c>
      <c r="E5" s="15" t="inlineStr">
        <is>
          <t>308 Paula</t>
        </is>
      </c>
      <c r="F5" s="15" t="inlineStr">
        <is>
          <t>Meet plumber, approve repair</t>
        </is>
      </c>
      <c r="G5" s="33" t="n">
        <v>18.4</v>
      </c>
      <c r="H5" s="33" t="n">
        <v>0</v>
      </c>
      <c r="I5" s="33" t="n">
        <f>G5+H5</f>
        <v>18.4</v>
      </c>
      <c r="J5" s="14" t="inlineStr">
        <is>
          <t>MileIQ</t>
        </is>
      </c>
      <c r="K5" s="14" t="str">
        <f>IF(A5="","",TEXT(A5,"YYYY-MM"))</f>
        <v>2026-01</v>
      </c>
    </row>
    <row r="6">
      <c r="A6" s="14" t="inlineStr">
        <is>
          <t>2026-01-07</t>
        </is>
      </c>
      <c r="B6" s="14" t="inlineStr">
        <is>
          <t>Brandy Morgan</t>
        </is>
      </c>
      <c r="C6" s="14" t="inlineStr">
        <is>
          <t>Truck</t>
        </is>
      </c>
      <c r="D6" s="15" t="inlineStr">
        <is>
          <t>Home office</t>
        </is>
      </c>
      <c r="E6" s="15" t="inlineStr">
        <is>
          <t>4800 Kent Ave, Groves TX</t>
        </is>
      </c>
      <c r="F6" s="15" t="inlineStr">
        <is>
          <t>Show unit to applicants</t>
        </is>
      </c>
      <c r="G6" s="33" t="n">
        <v>22.1</v>
      </c>
      <c r="H6" s="33" t="n">
        <v>0</v>
      </c>
      <c r="I6" s="33" t="n">
        <f>G6+H6</f>
        <v>22.1</v>
      </c>
      <c r="J6" s="14" t="inlineStr">
        <is>
          <t>Manual</t>
        </is>
      </c>
      <c r="K6" s="14" t="str">
        <f>IF(A6="","",TEXT(A6,"YYYY-MM"))</f>
        <v>2026-01</v>
      </c>
    </row>
    <row r="7">
      <c r="A7" s="18" t="n"/>
      <c r="B7" s="8" t="n"/>
      <c r="C7" s="8" t="n"/>
      <c r="D7" s="19" t="n"/>
      <c r="E7" s="19" t="n"/>
      <c r="F7" s="19" t="n"/>
      <c r="G7" s="34" t="n"/>
      <c r="H7" s="34" t="n"/>
      <c r="I7" s="35" t="n">
        <f>G7+H7</f>
        <v>0</v>
      </c>
      <c r="J7" s="8" t="n"/>
      <c r="K7" s="21" t="str">
        <f>IF(A7="","",TEXT(A7,"YYYY-MM"))</f>
        <v/>
      </c>
    </row>
    <row r="8">
      <c r="A8" s="18" t="n"/>
      <c r="B8" s="8" t="n"/>
      <c r="C8" s="8" t="n"/>
      <c r="D8" s="19" t="n"/>
      <c r="E8" s="19" t="n"/>
      <c r="F8" s="19" t="n"/>
      <c r="G8" s="34" t="n"/>
      <c r="H8" s="34" t="n"/>
      <c r="I8" s="35" t="n">
        <f>G8+H8</f>
        <v>0</v>
      </c>
      <c r="J8" s="8" t="n"/>
      <c r="K8" s="21" t="str">
        <f>IF(A8="","",TEXT(A8,"YYYY-MM"))</f>
        <v/>
      </c>
    </row>
    <row r="9">
      <c r="A9" s="18" t="n"/>
      <c r="B9" s="8" t="n"/>
      <c r="C9" s="8" t="n"/>
      <c r="D9" s="19" t="n"/>
      <c r="E9" s="19" t="n"/>
      <c r="F9" s="19" t="n"/>
      <c r="G9" s="34" t="n"/>
      <c r="H9" s="34" t="n"/>
      <c r="I9" s="35" t="n">
        <f>G9+H9</f>
        <v>0</v>
      </c>
      <c r="J9" s="8" t="n"/>
      <c r="K9" s="21" t="str">
        <f>IF(A9="","",TEXT(A9,"YYYY-MM"))</f>
        <v/>
      </c>
    </row>
    <row r="10">
      <c r="A10" s="18" t="n"/>
      <c r="B10" s="8" t="n"/>
      <c r="C10" s="8" t="n"/>
      <c r="D10" s="19" t="n"/>
      <c r="E10" s="19" t="n"/>
      <c r="F10" s="19" t="n"/>
      <c r="G10" s="34" t="n"/>
      <c r="H10" s="34" t="n"/>
      <c r="I10" s="35" t="n">
        <f>G10+H10</f>
        <v>0</v>
      </c>
      <c r="J10" s="8" t="n"/>
      <c r="K10" s="21" t="str">
        <f>IF(A10="","",TEXT(A10,"YYYY-MM"))</f>
        <v/>
      </c>
    </row>
    <row r="11">
      <c r="A11" s="18" t="n"/>
      <c r="B11" s="8" t="n"/>
      <c r="C11" s="8" t="n"/>
      <c r="D11" s="19" t="n"/>
      <c r="E11" s="19" t="n"/>
      <c r="F11" s="19" t="n"/>
      <c r="G11" s="34" t="n"/>
      <c r="H11" s="34" t="n"/>
      <c r="I11" s="35" t="n">
        <f>G11+H11</f>
        <v>0</v>
      </c>
      <c r="J11" s="8" t="n"/>
      <c r="K11" s="21" t="str">
        <f>IF(A11="","",TEXT(A11,"YYYY-MM"))</f>
        <v/>
      </c>
    </row>
    <row r="12">
      <c r="A12" s="18" t="n"/>
      <c r="B12" s="8" t="n"/>
      <c r="C12" s="8" t="n"/>
      <c r="D12" s="19" t="n"/>
      <c r="E12" s="19" t="n"/>
      <c r="F12" s="19" t="n"/>
      <c r="G12" s="34" t="n"/>
      <c r="H12" s="34" t="n"/>
      <c r="I12" s="35" t="n">
        <f>G12+H12</f>
        <v>0</v>
      </c>
      <c r="J12" s="8" t="n"/>
      <c r="K12" s="21" t="str">
        <f>IF(A12="","",TEXT(A12,"YYYY-MM"))</f>
        <v/>
      </c>
    </row>
    <row r="13">
      <c r="A13" s="18" t="n"/>
      <c r="B13" s="8" t="n"/>
      <c r="C13" s="8" t="n"/>
      <c r="D13" s="19" t="n"/>
      <c r="E13" s="19" t="n"/>
      <c r="F13" s="19" t="n"/>
      <c r="G13" s="34" t="n"/>
      <c r="H13" s="34" t="n"/>
      <c r="I13" s="35" t="n">
        <f>G13+H13</f>
        <v>0</v>
      </c>
      <c r="J13" s="8" t="n"/>
      <c r="K13" s="21" t="str">
        <f>IF(A13="","",TEXT(A13,"YYYY-MM"))</f>
        <v/>
      </c>
    </row>
    <row r="14">
      <c r="A14" s="18" t="n"/>
      <c r="B14" s="8" t="n"/>
      <c r="C14" s="8" t="n"/>
      <c r="D14" s="19" t="n"/>
      <c r="E14" s="19" t="n"/>
      <c r="F14" s="19" t="n"/>
      <c r="G14" s="34" t="n"/>
      <c r="H14" s="34" t="n"/>
      <c r="I14" s="35" t="n">
        <f>G14+H14</f>
        <v>0</v>
      </c>
      <c r="J14" s="8" t="n"/>
      <c r="K14" s="21" t="str">
        <f>IF(A14="","",TEXT(A14,"YYYY-MM"))</f>
        <v/>
      </c>
    </row>
    <row r="15">
      <c r="A15" s="18" t="n"/>
      <c r="B15" s="8" t="n"/>
      <c r="C15" s="8" t="n"/>
      <c r="D15" s="19" t="n"/>
      <c r="E15" s="19" t="n"/>
      <c r="F15" s="19" t="n"/>
      <c r="G15" s="34" t="n"/>
      <c r="H15" s="34" t="n"/>
      <c r="I15" s="35" t="n">
        <f>G15+H15</f>
        <v>0</v>
      </c>
      <c r="J15" s="8" t="n"/>
      <c r="K15" s="21" t="str">
        <f>IF(A15="","",TEXT(A15,"YYYY-MM"))</f>
        <v/>
      </c>
    </row>
    <row r="16">
      <c r="A16" s="18" t="n"/>
      <c r="B16" s="8" t="n"/>
      <c r="C16" s="8" t="n"/>
      <c r="D16" s="19" t="n"/>
      <c r="E16" s="19" t="n"/>
      <c r="F16" s="19" t="n"/>
      <c r="G16" s="34" t="n"/>
      <c r="H16" s="34" t="n"/>
      <c r="I16" s="35" t="n">
        <f>G16+H16</f>
        <v>0</v>
      </c>
      <c r="J16" s="8" t="n"/>
      <c r="K16" s="21" t="str">
        <f>IF(A16="","",TEXT(A16,"YYYY-MM"))</f>
        <v/>
      </c>
    </row>
    <row r="17">
      <c r="A17" s="18" t="n"/>
      <c r="B17" s="8" t="n"/>
      <c r="C17" s="8" t="n"/>
      <c r="D17" s="19" t="n"/>
      <c r="E17" s="19" t="n"/>
      <c r="F17" s="19" t="n"/>
      <c r="G17" s="34" t="n"/>
      <c r="H17" s="34" t="n"/>
      <c r="I17" s="35" t="n">
        <f>G17+H17</f>
        <v>0</v>
      </c>
      <c r="J17" s="8" t="n"/>
      <c r="K17" s="21" t="str">
        <f>IF(A17="","",TEXT(A17,"YYYY-MM"))</f>
        <v/>
      </c>
    </row>
    <row r="18">
      <c r="A18" s="18" t="n"/>
      <c r="B18" s="8" t="n"/>
      <c r="C18" s="8" t="n"/>
      <c r="D18" s="19" t="n"/>
      <c r="E18" s="19" t="n"/>
      <c r="F18" s="19" t="n"/>
      <c r="G18" s="34" t="n"/>
      <c r="H18" s="34" t="n"/>
      <c r="I18" s="35" t="n">
        <f>G18+H18</f>
        <v>0</v>
      </c>
      <c r="J18" s="8" t="n"/>
      <c r="K18" s="21" t="str">
        <f>IF(A18="","",TEXT(A18,"YYYY-MM"))</f>
        <v/>
      </c>
    </row>
    <row r="19">
      <c r="A19" s="18" t="n"/>
      <c r="B19" s="8" t="n"/>
      <c r="C19" s="8" t="n"/>
      <c r="D19" s="19" t="n"/>
      <c r="E19" s="19" t="n"/>
      <c r="F19" s="19" t="n"/>
      <c r="G19" s="34" t="n"/>
      <c r="H19" s="34" t="n"/>
      <c r="I19" s="35" t="n">
        <f>G19+H19</f>
        <v>0</v>
      </c>
      <c r="J19" s="8" t="n"/>
      <c r="K19" s="21" t="str">
        <f>IF(A19="","",TEXT(A19,"YYYY-MM"))</f>
        <v/>
      </c>
    </row>
    <row r="20">
      <c r="A20" s="18" t="n"/>
      <c r="B20" s="8" t="n"/>
      <c r="C20" s="8" t="n"/>
      <c r="D20" s="19" t="n"/>
      <c r="E20" s="19" t="n"/>
      <c r="F20" s="19" t="n"/>
      <c r="G20" s="34" t="n"/>
      <c r="H20" s="34" t="n"/>
      <c r="I20" s="35" t="n">
        <f>G20+H20</f>
        <v>0</v>
      </c>
      <c r="J20" s="8" t="n"/>
      <c r="K20" s="21" t="str">
        <f>IF(A20="","",TEXT(A20,"YYYY-MM"))</f>
        <v/>
      </c>
    </row>
    <row r="21">
      <c r="A21" s="18" t="n"/>
      <c r="B21" s="8" t="n"/>
      <c r="C21" s="8" t="n"/>
      <c r="D21" s="19" t="n"/>
      <c r="E21" s="19" t="n"/>
      <c r="F21" s="19" t="n"/>
      <c r="G21" s="34" t="n"/>
      <c r="H21" s="34" t="n"/>
      <c r="I21" s="35" t="n">
        <f>G21+H21</f>
        <v>0</v>
      </c>
      <c r="J21" s="8" t="n"/>
      <c r="K21" s="21" t="str">
        <f>IF(A21="","",TEXT(A21,"YYYY-MM"))</f>
        <v/>
      </c>
    </row>
    <row r="22">
      <c r="A22" s="18" t="n"/>
      <c r="B22" s="8" t="n"/>
      <c r="C22" s="8" t="n"/>
      <c r="D22" s="19" t="n"/>
      <c r="E22" s="19" t="n"/>
      <c r="F22" s="19" t="n"/>
      <c r="G22" s="34" t="n"/>
      <c r="H22" s="34" t="n"/>
      <c r="I22" s="35" t="n">
        <f>G22+H22</f>
        <v>0</v>
      </c>
      <c r="J22" s="8" t="n"/>
      <c r="K22" s="21" t="str">
        <f>IF(A22="","",TEXT(A22,"YYYY-MM"))</f>
        <v/>
      </c>
    </row>
    <row r="23">
      <c r="A23" s="18" t="n"/>
      <c r="B23" s="8" t="n"/>
      <c r="C23" s="8" t="n"/>
      <c r="D23" s="19" t="n"/>
      <c r="E23" s="19" t="n"/>
      <c r="F23" s="19" t="n"/>
      <c r="G23" s="34" t="n"/>
      <c r="H23" s="34" t="n"/>
      <c r="I23" s="35" t="n">
        <f>G23+H23</f>
        <v>0</v>
      </c>
      <c r="J23" s="8" t="n"/>
      <c r="K23" s="21" t="str">
        <f>IF(A23="","",TEXT(A23,"YYYY-MM"))</f>
        <v/>
      </c>
    </row>
    <row r="24">
      <c r="A24" s="18" t="n"/>
      <c r="B24" s="8" t="n"/>
      <c r="C24" s="8" t="n"/>
      <c r="D24" s="19" t="n"/>
      <c r="E24" s="19" t="n"/>
      <c r="F24" s="19" t="n"/>
      <c r="G24" s="34" t="n"/>
      <c r="H24" s="34" t="n"/>
      <c r="I24" s="35" t="n">
        <f>G24+H24</f>
        <v>0</v>
      </c>
      <c r="J24" s="8" t="n"/>
      <c r="K24" s="21" t="str">
        <f>IF(A24="","",TEXT(A24,"YYYY-MM"))</f>
        <v/>
      </c>
    </row>
    <row r="25">
      <c r="A25" s="18" t="n"/>
      <c r="B25" s="8" t="n"/>
      <c r="C25" s="8" t="n"/>
      <c r="D25" s="19" t="n"/>
      <c r="E25" s="19" t="n"/>
      <c r="F25" s="19" t="n"/>
      <c r="G25" s="34" t="n"/>
      <c r="H25" s="34" t="n"/>
      <c r="I25" s="35" t="n">
        <f>G25+H25</f>
        <v>0</v>
      </c>
      <c r="J25" s="8" t="n"/>
      <c r="K25" s="21" t="str">
        <f>IF(A25="","",TEXT(A25,"YYYY-MM"))</f>
        <v/>
      </c>
    </row>
    <row r="26">
      <c r="A26" s="18" t="n"/>
      <c r="B26" s="8" t="n"/>
      <c r="C26" s="8" t="n"/>
      <c r="D26" s="19" t="n"/>
      <c r="E26" s="19" t="n"/>
      <c r="F26" s="19" t="n"/>
      <c r="G26" s="34" t="n"/>
      <c r="H26" s="34" t="n"/>
      <c r="I26" s="35" t="n">
        <f>G26+H26</f>
        <v>0</v>
      </c>
      <c r="J26" s="8" t="n"/>
      <c r="K26" s="21" t="str">
        <f>IF(A26="","",TEXT(A26,"YYYY-MM"))</f>
        <v/>
      </c>
    </row>
    <row r="27">
      <c r="A27" s="18" t="n"/>
      <c r="B27" s="8" t="n"/>
      <c r="C27" s="8" t="n"/>
      <c r="D27" s="19" t="n"/>
      <c r="E27" s="19" t="n"/>
      <c r="F27" s="19" t="n"/>
      <c r="G27" s="34" t="n"/>
      <c r="H27" s="34" t="n"/>
      <c r="I27" s="35" t="n">
        <f>G27+H27</f>
        <v>0</v>
      </c>
      <c r="J27" s="8" t="n"/>
      <c r="K27" s="21" t="str">
        <f>IF(A27="","",TEXT(A27,"YYYY-MM"))</f>
        <v/>
      </c>
    </row>
    <row r="28">
      <c r="A28" s="18" t="n"/>
      <c r="B28" s="8" t="n"/>
      <c r="C28" s="8" t="n"/>
      <c r="D28" s="19" t="n"/>
      <c r="E28" s="19" t="n"/>
      <c r="F28" s="19" t="n"/>
      <c r="G28" s="34" t="n"/>
      <c r="H28" s="34" t="n"/>
      <c r="I28" s="35" t="n">
        <f>G28+H28</f>
        <v>0</v>
      </c>
      <c r="J28" s="8" t="n"/>
      <c r="K28" s="21" t="str">
        <f>IF(A28="","",TEXT(A28,"YYYY-MM"))</f>
        <v/>
      </c>
    </row>
    <row r="29">
      <c r="A29" s="18" t="n"/>
      <c r="B29" s="8" t="n"/>
      <c r="C29" s="8" t="n"/>
      <c r="D29" s="19" t="n"/>
      <c r="E29" s="19" t="n"/>
      <c r="F29" s="19" t="n"/>
      <c r="G29" s="34" t="n"/>
      <c r="H29" s="34" t="n"/>
      <c r="I29" s="35" t="n">
        <f>G29+H29</f>
        <v>0</v>
      </c>
      <c r="J29" s="8" t="n"/>
      <c r="K29" s="21" t="str">
        <f>IF(A29="","",TEXT(A29,"YYYY-MM"))</f>
        <v/>
      </c>
    </row>
    <row r="30">
      <c r="A30" s="18" t="n"/>
      <c r="B30" s="8" t="n"/>
      <c r="C30" s="8" t="n"/>
      <c r="D30" s="19" t="n"/>
      <c r="E30" s="19" t="n"/>
      <c r="F30" s="19" t="n"/>
      <c r="G30" s="34" t="n"/>
      <c r="H30" s="34" t="n"/>
      <c r="I30" s="35" t="n">
        <f>G30+H30</f>
        <v>0</v>
      </c>
      <c r="J30" s="8" t="n"/>
      <c r="K30" s="21" t="str">
        <f>IF(A30="","",TEXT(A30,"YYYY-MM"))</f>
        <v/>
      </c>
    </row>
    <row r="31">
      <c r="A31" s="18" t="n"/>
      <c r="B31" s="8" t="n"/>
      <c r="C31" s="8" t="n"/>
      <c r="D31" s="19" t="n"/>
      <c r="E31" s="19" t="n"/>
      <c r="F31" s="19" t="n"/>
      <c r="G31" s="34" t="n"/>
      <c r="H31" s="34" t="n"/>
      <c r="I31" s="35" t="n">
        <f>G31+H31</f>
        <v>0</v>
      </c>
      <c r="J31" s="8" t="n"/>
      <c r="K31" s="21" t="str">
        <f>IF(A31="","",TEXT(A31,"YYYY-MM"))</f>
        <v/>
      </c>
    </row>
    <row r="32">
      <c r="A32" s="18" t="n"/>
      <c r="B32" s="8" t="n"/>
      <c r="C32" s="8" t="n"/>
      <c r="D32" s="19" t="n"/>
      <c r="E32" s="19" t="n"/>
      <c r="F32" s="19" t="n"/>
      <c r="G32" s="34" t="n"/>
      <c r="H32" s="34" t="n"/>
      <c r="I32" s="35" t="n">
        <f>G32+H32</f>
        <v>0</v>
      </c>
      <c r="J32" s="8" t="n"/>
      <c r="K32" s="21" t="str">
        <f>IF(A32="","",TEXT(A32,"YYYY-MM"))</f>
        <v/>
      </c>
    </row>
    <row r="33">
      <c r="A33" s="18" t="n"/>
      <c r="B33" s="8" t="n"/>
      <c r="C33" s="8" t="n"/>
      <c r="D33" s="19" t="n"/>
      <c r="E33" s="19" t="n"/>
      <c r="F33" s="19" t="n"/>
      <c r="G33" s="34" t="n"/>
      <c r="H33" s="34" t="n"/>
      <c r="I33" s="35" t="n">
        <f>G33+H33</f>
        <v>0</v>
      </c>
      <c r="J33" s="8" t="n"/>
      <c r="K33" s="21" t="str">
        <f>IF(A33="","",TEXT(A33,"YYYY-MM"))</f>
        <v/>
      </c>
    </row>
    <row r="34">
      <c r="A34" s="18" t="n"/>
      <c r="B34" s="8" t="n"/>
      <c r="C34" s="8" t="n"/>
      <c r="D34" s="19" t="n"/>
      <c r="E34" s="19" t="n"/>
      <c r="F34" s="19" t="n"/>
      <c r="G34" s="34" t="n"/>
      <c r="H34" s="34" t="n"/>
      <c r="I34" s="35" t="n">
        <f>G34+H34</f>
        <v>0</v>
      </c>
      <c r="J34" s="8" t="n"/>
      <c r="K34" s="21" t="str">
        <f>IF(A34="","",TEXT(A34,"YYYY-MM"))</f>
        <v/>
      </c>
    </row>
    <row r="35">
      <c r="A35" s="18" t="n"/>
      <c r="B35" s="8" t="n"/>
      <c r="C35" s="8" t="n"/>
      <c r="D35" s="19" t="n"/>
      <c r="E35" s="19" t="n"/>
      <c r="F35" s="19" t="n"/>
      <c r="G35" s="34" t="n"/>
      <c r="H35" s="34" t="n"/>
      <c r="I35" s="35" t="n">
        <f>G35+H35</f>
        <v>0</v>
      </c>
      <c r="J35" s="8" t="n"/>
      <c r="K35" s="21" t="str">
        <f>IF(A35="","",TEXT(A35,"YYYY-MM"))</f>
        <v/>
      </c>
    </row>
    <row r="36">
      <c r="A36" s="18" t="n"/>
      <c r="B36" s="8" t="n"/>
      <c r="C36" s="8" t="n"/>
      <c r="D36" s="19" t="n"/>
      <c r="E36" s="19" t="n"/>
      <c r="F36" s="19" t="n"/>
      <c r="G36" s="34" t="n"/>
      <c r="H36" s="34" t="n"/>
      <c r="I36" s="35" t="n">
        <f>G36+H36</f>
        <v>0</v>
      </c>
      <c r="J36" s="8" t="n"/>
      <c r="K36" s="21" t="str">
        <f>IF(A36="","",TEXT(A36,"YYYY-MM"))</f>
        <v/>
      </c>
    </row>
    <row r="37">
      <c r="A37" s="18" t="n"/>
      <c r="B37" s="8" t="n"/>
      <c r="C37" s="8" t="n"/>
      <c r="D37" s="19" t="n"/>
      <c r="E37" s="19" t="n"/>
      <c r="F37" s="19" t="n"/>
      <c r="G37" s="34" t="n"/>
      <c r="H37" s="34" t="n"/>
      <c r="I37" s="35" t="n">
        <f>G37+H37</f>
        <v>0</v>
      </c>
      <c r="J37" s="8" t="n"/>
      <c r="K37" s="21" t="str">
        <f>IF(A37="","",TEXT(A37,"YYYY-MM"))</f>
        <v/>
      </c>
    </row>
    <row r="38">
      <c r="A38" s="18" t="n"/>
      <c r="B38" s="8" t="n"/>
      <c r="C38" s="8" t="n"/>
      <c r="D38" s="19" t="n"/>
      <c r="E38" s="19" t="n"/>
      <c r="F38" s="19" t="n"/>
      <c r="G38" s="34" t="n"/>
      <c r="H38" s="34" t="n"/>
      <c r="I38" s="35" t="n">
        <f>G38+H38</f>
        <v>0</v>
      </c>
      <c r="J38" s="8" t="n"/>
      <c r="K38" s="21" t="str">
        <f>IF(A38="","",TEXT(A38,"YYYY-MM"))</f>
        <v/>
      </c>
    </row>
    <row r="39">
      <c r="A39" s="18" t="n"/>
      <c r="B39" s="8" t="n"/>
      <c r="C39" s="8" t="n"/>
      <c r="D39" s="19" t="n"/>
      <c r="E39" s="19" t="n"/>
      <c r="F39" s="19" t="n"/>
      <c r="G39" s="34" t="n"/>
      <c r="H39" s="34" t="n"/>
      <c r="I39" s="35" t="n">
        <f>G39+H39</f>
        <v>0</v>
      </c>
      <c r="J39" s="8" t="n"/>
      <c r="K39" s="21" t="str">
        <f>IF(A39="","",TEXT(A39,"YYYY-MM"))</f>
        <v/>
      </c>
    </row>
    <row r="40">
      <c r="A40" s="18" t="n"/>
      <c r="B40" s="8" t="n"/>
      <c r="C40" s="8" t="n"/>
      <c r="D40" s="19" t="n"/>
      <c r="E40" s="19" t="n"/>
      <c r="F40" s="19" t="n"/>
      <c r="G40" s="34" t="n"/>
      <c r="H40" s="34" t="n"/>
      <c r="I40" s="35" t="n">
        <f>G40+H40</f>
        <v>0</v>
      </c>
      <c r="J40" s="8" t="n"/>
      <c r="K40" s="21" t="str">
        <f>IF(A40="","",TEXT(A40,"YYYY-MM"))</f>
        <v/>
      </c>
    </row>
    <row r="41">
      <c r="A41" s="18" t="n"/>
      <c r="B41" s="8" t="n"/>
      <c r="C41" s="8" t="n"/>
      <c r="D41" s="19" t="n"/>
      <c r="E41" s="19" t="n"/>
      <c r="F41" s="19" t="n"/>
      <c r="G41" s="34" t="n"/>
      <c r="H41" s="34" t="n"/>
      <c r="I41" s="35" t="n">
        <f>G41+H41</f>
        <v>0</v>
      </c>
      <c r="J41" s="8" t="n"/>
      <c r="K41" s="21" t="str">
        <f>IF(A41="","",TEXT(A41,"YYYY-MM"))</f>
        <v/>
      </c>
    </row>
    <row r="42">
      <c r="A42" s="18" t="n"/>
      <c r="B42" s="8" t="n"/>
      <c r="C42" s="8" t="n"/>
      <c r="D42" s="19" t="n"/>
      <c r="E42" s="19" t="n"/>
      <c r="F42" s="19" t="n"/>
      <c r="G42" s="34" t="n"/>
      <c r="H42" s="34" t="n"/>
      <c r="I42" s="35" t="n">
        <f>G42+H42</f>
        <v>0</v>
      </c>
      <c r="J42" s="8" t="n"/>
      <c r="K42" s="21" t="str">
        <f>IF(A42="","",TEXT(A42,"YYYY-MM"))</f>
        <v/>
      </c>
    </row>
    <row r="43">
      <c r="A43" s="18" t="n"/>
      <c r="B43" s="8" t="n"/>
      <c r="C43" s="8" t="n"/>
      <c r="D43" s="19" t="n"/>
      <c r="E43" s="19" t="n"/>
      <c r="F43" s="19" t="n"/>
      <c r="G43" s="34" t="n"/>
      <c r="H43" s="34" t="n"/>
      <c r="I43" s="35" t="n">
        <f>G43+H43</f>
        <v>0</v>
      </c>
      <c r="J43" s="8" t="n"/>
      <c r="K43" s="21" t="str">
        <f>IF(A43="","",TEXT(A43,"YYYY-MM"))</f>
        <v/>
      </c>
    </row>
    <row r="44">
      <c r="A44" s="18" t="n"/>
      <c r="B44" s="8" t="n"/>
      <c r="C44" s="8" t="n"/>
      <c r="D44" s="19" t="n"/>
      <c r="E44" s="19" t="n"/>
      <c r="F44" s="19" t="n"/>
      <c r="G44" s="34" t="n"/>
      <c r="H44" s="34" t="n"/>
      <c r="I44" s="35" t="n">
        <f>G44+H44</f>
        <v>0</v>
      </c>
      <c r="J44" s="8" t="n"/>
      <c r="K44" s="21" t="str">
        <f>IF(A44="","",TEXT(A44,"YYYY-MM"))</f>
        <v/>
      </c>
    </row>
    <row r="45">
      <c r="A45" s="18" t="n"/>
      <c r="B45" s="8" t="n"/>
      <c r="C45" s="8" t="n"/>
      <c r="D45" s="19" t="n"/>
      <c r="E45" s="19" t="n"/>
      <c r="F45" s="19" t="n"/>
      <c r="G45" s="34" t="n"/>
      <c r="H45" s="34" t="n"/>
      <c r="I45" s="35" t="n">
        <f>G45+H45</f>
        <v>0</v>
      </c>
      <c r="J45" s="8" t="n"/>
      <c r="K45" s="21" t="str">
        <f>IF(A45="","",TEXT(A45,"YYYY-MM"))</f>
        <v/>
      </c>
    </row>
    <row r="46">
      <c r="A46" s="18" t="n"/>
      <c r="B46" s="8" t="n"/>
      <c r="C46" s="8" t="n"/>
      <c r="D46" s="19" t="n"/>
      <c r="E46" s="19" t="n"/>
      <c r="F46" s="19" t="n"/>
      <c r="G46" s="34" t="n"/>
      <c r="H46" s="34" t="n"/>
      <c r="I46" s="35" t="n">
        <f>G46+H46</f>
        <v>0</v>
      </c>
      <c r="J46" s="8" t="n"/>
      <c r="K46" s="21" t="str">
        <f>IF(A46="","",TEXT(A46,"YYYY-MM"))</f>
        <v/>
      </c>
    </row>
    <row r="47">
      <c r="A47" s="18" t="n"/>
      <c r="B47" s="8" t="n"/>
      <c r="C47" s="8" t="n"/>
      <c r="D47" s="19" t="n"/>
      <c r="E47" s="19" t="n"/>
      <c r="F47" s="19" t="n"/>
      <c r="G47" s="34" t="n"/>
      <c r="H47" s="34" t="n"/>
      <c r="I47" s="35" t="n">
        <f>G47+H47</f>
        <v>0</v>
      </c>
      <c r="J47" s="8" t="n"/>
      <c r="K47" s="21" t="str">
        <f>IF(A47="","",TEXT(A47,"YYYY-MM"))</f>
        <v/>
      </c>
    </row>
    <row r="48">
      <c r="A48" s="18" t="n"/>
      <c r="B48" s="8" t="n"/>
      <c r="C48" s="8" t="n"/>
      <c r="D48" s="19" t="n"/>
      <c r="E48" s="19" t="n"/>
      <c r="F48" s="19" t="n"/>
      <c r="G48" s="34" t="n"/>
      <c r="H48" s="34" t="n"/>
      <c r="I48" s="35" t="n">
        <f>G48+H48</f>
        <v>0</v>
      </c>
      <c r="J48" s="8" t="n"/>
      <c r="K48" s="21" t="str">
        <f>IF(A48="","",TEXT(A48,"YYYY-MM"))</f>
        <v/>
      </c>
    </row>
    <row r="49">
      <c r="A49" s="18" t="n"/>
      <c r="B49" s="8" t="n"/>
      <c r="C49" s="8" t="n"/>
      <c r="D49" s="19" t="n"/>
      <c r="E49" s="19" t="n"/>
      <c r="F49" s="19" t="n"/>
      <c r="G49" s="34" t="n"/>
      <c r="H49" s="34" t="n"/>
      <c r="I49" s="35" t="n">
        <f>G49+H49</f>
        <v>0</v>
      </c>
      <c r="J49" s="8" t="n"/>
      <c r="K49" s="21" t="str">
        <f>IF(A49="","",TEXT(A49,"YYYY-MM"))</f>
        <v/>
      </c>
    </row>
    <row r="50">
      <c r="A50" s="18" t="n"/>
      <c r="B50" s="8" t="n"/>
      <c r="C50" s="8" t="n"/>
      <c r="D50" s="19" t="n"/>
      <c r="E50" s="19" t="n"/>
      <c r="F50" s="19" t="n"/>
      <c r="G50" s="34" t="n"/>
      <c r="H50" s="34" t="n"/>
      <c r="I50" s="35" t="n">
        <f>G50+H50</f>
        <v>0</v>
      </c>
      <c r="J50" s="8" t="n"/>
      <c r="K50" s="21" t="str">
        <f>IF(A50="","",TEXT(A50,"YYYY-MM"))</f>
        <v/>
      </c>
    </row>
    <row r="51">
      <c r="A51" s="18" t="n"/>
      <c r="B51" s="8" t="n"/>
      <c r="C51" s="8" t="n"/>
      <c r="D51" s="19" t="n"/>
      <c r="E51" s="19" t="n"/>
      <c r="F51" s="19" t="n"/>
      <c r="G51" s="34" t="n"/>
      <c r="H51" s="34" t="n"/>
      <c r="I51" s="35" t="n">
        <f>G51+H51</f>
        <v>0</v>
      </c>
      <c r="J51" s="8" t="n"/>
      <c r="K51" s="21" t="str">
        <f>IF(A51="","",TEXT(A51,"YYYY-MM"))</f>
        <v/>
      </c>
    </row>
    <row r="52">
      <c r="A52" s="18" t="n"/>
      <c r="B52" s="8" t="n"/>
      <c r="C52" s="8" t="n"/>
      <c r="D52" s="19" t="n"/>
      <c r="E52" s="19" t="n"/>
      <c r="F52" s="19" t="n"/>
      <c r="G52" s="34" t="n"/>
      <c r="H52" s="34" t="n"/>
      <c r="I52" s="35" t="n">
        <f>G52+H52</f>
        <v>0</v>
      </c>
      <c r="J52" s="8" t="n"/>
      <c r="K52" s="21" t="str">
        <f>IF(A52="","",TEXT(A52,"YYYY-MM"))</f>
        <v/>
      </c>
    </row>
    <row r="53">
      <c r="A53" s="18" t="n"/>
      <c r="B53" s="8" t="n"/>
      <c r="C53" s="8" t="n"/>
      <c r="D53" s="19" t="n"/>
      <c r="E53" s="19" t="n"/>
      <c r="F53" s="19" t="n"/>
      <c r="G53" s="34" t="n"/>
      <c r="H53" s="34" t="n"/>
      <c r="I53" s="35" t="n">
        <f>G53+H53</f>
        <v>0</v>
      </c>
      <c r="J53" s="8" t="n"/>
      <c r="K53" s="21" t="str">
        <f>IF(A53="","",TEXT(A53,"YYYY-MM"))</f>
        <v/>
      </c>
    </row>
    <row r="54">
      <c r="A54" s="18" t="n"/>
      <c r="B54" s="8" t="n"/>
      <c r="C54" s="8" t="n"/>
      <c r="D54" s="19" t="n"/>
      <c r="E54" s="19" t="n"/>
      <c r="F54" s="19" t="n"/>
      <c r="G54" s="34" t="n"/>
      <c r="H54" s="34" t="n"/>
      <c r="I54" s="35" t="n">
        <f>G54+H54</f>
        <v>0</v>
      </c>
      <c r="J54" s="8" t="n"/>
      <c r="K54" s="21" t="str">
        <f>IF(A54="","",TEXT(A54,"YYYY-MM"))</f>
        <v/>
      </c>
    </row>
    <row r="55">
      <c r="A55" s="18" t="n"/>
      <c r="B55" s="8" t="n"/>
      <c r="C55" s="8" t="n"/>
      <c r="D55" s="19" t="n"/>
      <c r="E55" s="19" t="n"/>
      <c r="F55" s="19" t="n"/>
      <c r="G55" s="34" t="n"/>
      <c r="H55" s="34" t="n"/>
      <c r="I55" s="35" t="n">
        <f>G55+H55</f>
        <v>0</v>
      </c>
      <c r="J55" s="8" t="n"/>
      <c r="K55" s="21" t="str">
        <f>IF(A55="","",TEXT(A55,"YYYY-MM"))</f>
        <v/>
      </c>
    </row>
    <row r="56">
      <c r="A56" s="18" t="n"/>
      <c r="B56" s="8" t="n"/>
      <c r="C56" s="8" t="n"/>
      <c r="D56" s="19" t="n"/>
      <c r="E56" s="19" t="n"/>
      <c r="F56" s="19" t="n"/>
      <c r="G56" s="34" t="n"/>
      <c r="H56" s="34" t="n"/>
      <c r="I56" s="35" t="n">
        <f>G56+H56</f>
        <v>0</v>
      </c>
      <c r="J56" s="8" t="n"/>
      <c r="K56" s="21" t="str">
        <f>IF(A56="","",TEXT(A56,"YYYY-MM"))</f>
        <v/>
      </c>
    </row>
    <row r="57">
      <c r="A57" s="18" t="n"/>
      <c r="B57" s="8" t="n"/>
      <c r="C57" s="8" t="n"/>
      <c r="D57" s="19" t="n"/>
      <c r="E57" s="19" t="n"/>
      <c r="F57" s="19" t="n"/>
      <c r="G57" s="34" t="n"/>
      <c r="H57" s="34" t="n"/>
      <c r="I57" s="35" t="n">
        <f>G57+H57</f>
        <v>0</v>
      </c>
      <c r="J57" s="8" t="n"/>
      <c r="K57" s="21" t="str">
        <f>IF(A57="","",TEXT(A57,"YYYY-MM"))</f>
        <v/>
      </c>
    </row>
    <row r="58">
      <c r="A58" s="18" t="n"/>
      <c r="B58" s="8" t="n"/>
      <c r="C58" s="8" t="n"/>
      <c r="D58" s="19" t="n"/>
      <c r="E58" s="19" t="n"/>
      <c r="F58" s="19" t="n"/>
      <c r="G58" s="34" t="n"/>
      <c r="H58" s="34" t="n"/>
      <c r="I58" s="35" t="n">
        <f>G58+H58</f>
        <v>0</v>
      </c>
      <c r="J58" s="8" t="n"/>
      <c r="K58" s="21" t="str">
        <f>IF(A58="","",TEXT(A58,"YYYY-MM"))</f>
        <v/>
      </c>
    </row>
    <row r="59">
      <c r="A59" s="18" t="n"/>
      <c r="B59" s="8" t="n"/>
      <c r="C59" s="8" t="n"/>
      <c r="D59" s="19" t="n"/>
      <c r="E59" s="19" t="n"/>
      <c r="F59" s="19" t="n"/>
      <c r="G59" s="34" t="n"/>
      <c r="H59" s="34" t="n"/>
      <c r="I59" s="35" t="n">
        <f>G59+H59</f>
        <v>0</v>
      </c>
      <c r="J59" s="8" t="n"/>
      <c r="K59" s="21" t="str">
        <f>IF(A59="","",TEXT(A59,"YYYY-MM"))</f>
        <v/>
      </c>
    </row>
    <row r="60">
      <c r="A60" s="18" t="n"/>
      <c r="B60" s="8" t="n"/>
      <c r="C60" s="8" t="n"/>
      <c r="D60" s="19" t="n"/>
      <c r="E60" s="19" t="n"/>
      <c r="F60" s="19" t="n"/>
      <c r="G60" s="34" t="n"/>
      <c r="H60" s="34" t="n"/>
      <c r="I60" s="35" t="n">
        <f>G60+H60</f>
        <v>0</v>
      </c>
      <c r="J60" s="8" t="n"/>
      <c r="K60" s="21" t="str">
        <f>IF(A60="","",TEXT(A60,"YYYY-MM"))</f>
        <v/>
      </c>
    </row>
    <row r="61">
      <c r="A61" s="18" t="n"/>
      <c r="B61" s="8" t="n"/>
      <c r="C61" s="8" t="n"/>
      <c r="D61" s="19" t="n"/>
      <c r="E61" s="19" t="n"/>
      <c r="F61" s="19" t="n"/>
      <c r="G61" s="34" t="n"/>
      <c r="H61" s="34" t="n"/>
      <c r="I61" s="35" t="n">
        <f>G61+H61</f>
        <v>0</v>
      </c>
      <c r="J61" s="8" t="n"/>
      <c r="K61" s="21" t="str">
        <f>IF(A61="","",TEXT(A61,"YYYY-MM"))</f>
        <v/>
      </c>
    </row>
    <row r="62">
      <c r="A62" s="18" t="n"/>
      <c r="B62" s="8" t="n"/>
      <c r="C62" s="8" t="n"/>
      <c r="D62" s="19" t="n"/>
      <c r="E62" s="19" t="n"/>
      <c r="F62" s="19" t="n"/>
      <c r="G62" s="34" t="n"/>
      <c r="H62" s="34" t="n"/>
      <c r="I62" s="35" t="n">
        <f>G62+H62</f>
        <v>0</v>
      </c>
      <c r="J62" s="8" t="n"/>
      <c r="K62" s="21" t="str">
        <f>IF(A62="","",TEXT(A62,"YYYY-MM"))</f>
        <v/>
      </c>
    </row>
    <row r="63">
      <c r="A63" s="18" t="n"/>
      <c r="B63" s="8" t="n"/>
      <c r="C63" s="8" t="n"/>
      <c r="D63" s="19" t="n"/>
      <c r="E63" s="19" t="n"/>
      <c r="F63" s="19" t="n"/>
      <c r="G63" s="34" t="n"/>
      <c r="H63" s="34" t="n"/>
      <c r="I63" s="35" t="n">
        <f>G63+H63</f>
        <v>0</v>
      </c>
      <c r="J63" s="8" t="n"/>
      <c r="K63" s="21" t="str">
        <f>IF(A63="","",TEXT(A63,"YYYY-MM"))</f>
        <v/>
      </c>
    </row>
    <row r="64">
      <c r="A64" s="18" t="n"/>
      <c r="B64" s="8" t="n"/>
      <c r="C64" s="8" t="n"/>
      <c r="D64" s="19" t="n"/>
      <c r="E64" s="19" t="n"/>
      <c r="F64" s="19" t="n"/>
      <c r="G64" s="34" t="n"/>
      <c r="H64" s="34" t="n"/>
      <c r="I64" s="35" t="n">
        <f>G64+H64</f>
        <v>0</v>
      </c>
      <c r="J64" s="8" t="n"/>
      <c r="K64" s="21" t="str">
        <f>IF(A64="","",TEXT(A64,"YYYY-MM"))</f>
        <v/>
      </c>
    </row>
    <row r="65">
      <c r="A65" s="18" t="n"/>
      <c r="B65" s="8" t="n"/>
      <c r="C65" s="8" t="n"/>
      <c r="D65" s="19" t="n"/>
      <c r="E65" s="19" t="n"/>
      <c r="F65" s="19" t="n"/>
      <c r="G65" s="34" t="n"/>
      <c r="H65" s="34" t="n"/>
      <c r="I65" s="35" t="n">
        <f>G65+H65</f>
        <v>0</v>
      </c>
      <c r="J65" s="8" t="n"/>
      <c r="K65" s="21" t="str">
        <f>IF(A65="","",TEXT(A65,"YYYY-MM"))</f>
        <v/>
      </c>
    </row>
    <row r="66">
      <c r="A66" s="18" t="n"/>
      <c r="B66" s="8" t="n"/>
      <c r="C66" s="8" t="n"/>
      <c r="D66" s="19" t="n"/>
      <c r="E66" s="19" t="n"/>
      <c r="F66" s="19" t="n"/>
      <c r="G66" s="34" t="n"/>
      <c r="H66" s="34" t="n"/>
      <c r="I66" s="35" t="n">
        <f>G66+H66</f>
        <v>0</v>
      </c>
      <c r="J66" s="8" t="n"/>
      <c r="K66" s="21" t="str">
        <f>IF(A66="","",TEXT(A66,"YYYY-MM"))</f>
        <v/>
      </c>
    </row>
    <row r="67">
      <c r="A67" s="18" t="n"/>
      <c r="B67" s="8" t="n"/>
      <c r="C67" s="8" t="n"/>
      <c r="D67" s="19" t="n"/>
      <c r="E67" s="19" t="n"/>
      <c r="F67" s="19" t="n"/>
      <c r="G67" s="34" t="n"/>
      <c r="H67" s="34" t="n"/>
      <c r="I67" s="35" t="n">
        <f>G67+H67</f>
        <v>0</v>
      </c>
      <c r="J67" s="8" t="n"/>
      <c r="K67" s="21" t="str">
        <f>IF(A67="","",TEXT(A67,"YYYY-MM"))</f>
        <v/>
      </c>
    </row>
    <row r="68">
      <c r="A68" s="18" t="n"/>
      <c r="B68" s="8" t="n"/>
      <c r="C68" s="8" t="n"/>
      <c r="D68" s="19" t="n"/>
      <c r="E68" s="19" t="n"/>
      <c r="F68" s="19" t="n"/>
      <c r="G68" s="34" t="n"/>
      <c r="H68" s="34" t="n"/>
      <c r="I68" s="35" t="n">
        <f>G68+H68</f>
        <v>0</v>
      </c>
      <c r="J68" s="8" t="n"/>
      <c r="K68" s="21" t="str">
        <f>IF(A68="","",TEXT(A68,"YYYY-MM"))</f>
        <v/>
      </c>
    </row>
    <row r="69">
      <c r="A69" s="18" t="n"/>
      <c r="B69" s="8" t="n"/>
      <c r="C69" s="8" t="n"/>
      <c r="D69" s="19" t="n"/>
      <c r="E69" s="19" t="n"/>
      <c r="F69" s="19" t="n"/>
      <c r="G69" s="34" t="n"/>
      <c r="H69" s="34" t="n"/>
      <c r="I69" s="35" t="n">
        <f>G69+H69</f>
        <v>0</v>
      </c>
      <c r="J69" s="8" t="n"/>
      <c r="K69" s="21" t="str">
        <f>IF(A69="","",TEXT(A69,"YYYY-MM"))</f>
        <v/>
      </c>
    </row>
    <row r="70">
      <c r="A70" s="18" t="n"/>
      <c r="B70" s="8" t="n"/>
      <c r="C70" s="8" t="n"/>
      <c r="D70" s="19" t="n"/>
      <c r="E70" s="19" t="n"/>
      <c r="F70" s="19" t="n"/>
      <c r="G70" s="34" t="n"/>
      <c r="H70" s="34" t="n"/>
      <c r="I70" s="35" t="n">
        <f>G70+H70</f>
        <v>0</v>
      </c>
      <c r="J70" s="8" t="n"/>
      <c r="K70" s="21" t="str">
        <f>IF(A70="","",TEXT(A70,"YYYY-MM"))</f>
        <v/>
      </c>
    </row>
    <row r="71">
      <c r="A71" s="18" t="n"/>
      <c r="B71" s="8" t="n"/>
      <c r="C71" s="8" t="n"/>
      <c r="D71" s="19" t="n"/>
      <c r="E71" s="19" t="n"/>
      <c r="F71" s="19" t="n"/>
      <c r="G71" s="34" t="n"/>
      <c r="H71" s="34" t="n"/>
      <c r="I71" s="35" t="n">
        <f>G71+H71</f>
        <v>0</v>
      </c>
      <c r="J71" s="8" t="n"/>
      <c r="K71" s="21" t="str">
        <f>IF(A71="","",TEXT(A71,"YYYY-MM"))</f>
        <v/>
      </c>
    </row>
    <row r="72">
      <c r="A72" s="18" t="n"/>
      <c r="B72" s="8" t="n"/>
      <c r="C72" s="8" t="n"/>
      <c r="D72" s="19" t="n"/>
      <c r="E72" s="19" t="n"/>
      <c r="F72" s="19" t="n"/>
      <c r="G72" s="34" t="n"/>
      <c r="H72" s="34" t="n"/>
      <c r="I72" s="35" t="n">
        <f>G72+H72</f>
        <v>0</v>
      </c>
      <c r="J72" s="8" t="n"/>
      <c r="K72" s="21" t="str">
        <f>IF(A72="","",TEXT(A72,"YYYY-MM"))</f>
        <v/>
      </c>
    </row>
    <row r="73">
      <c r="A73" s="18" t="n"/>
      <c r="B73" s="8" t="n"/>
      <c r="C73" s="8" t="n"/>
      <c r="D73" s="19" t="n"/>
      <c r="E73" s="19" t="n"/>
      <c r="F73" s="19" t="n"/>
      <c r="G73" s="34" t="n"/>
      <c r="H73" s="34" t="n"/>
      <c r="I73" s="35" t="n">
        <f>G73+H73</f>
        <v>0</v>
      </c>
      <c r="J73" s="8" t="n"/>
      <c r="K73" s="21" t="str">
        <f>IF(A73="","",TEXT(A73,"YYYY-MM"))</f>
        <v/>
      </c>
    </row>
    <row r="74">
      <c r="A74" s="18" t="n"/>
      <c r="B74" s="8" t="n"/>
      <c r="C74" s="8" t="n"/>
      <c r="D74" s="19" t="n"/>
      <c r="E74" s="19" t="n"/>
      <c r="F74" s="19" t="n"/>
      <c r="G74" s="34" t="n"/>
      <c r="H74" s="34" t="n"/>
      <c r="I74" s="35" t="n">
        <f>G74+H74</f>
        <v>0</v>
      </c>
      <c r="J74" s="8" t="n"/>
      <c r="K74" s="21" t="str">
        <f>IF(A74="","",TEXT(A74,"YYYY-MM"))</f>
        <v/>
      </c>
    </row>
    <row r="75">
      <c r="A75" s="18" t="n"/>
      <c r="B75" s="8" t="n"/>
      <c r="C75" s="8" t="n"/>
      <c r="D75" s="19" t="n"/>
      <c r="E75" s="19" t="n"/>
      <c r="F75" s="19" t="n"/>
      <c r="G75" s="34" t="n"/>
      <c r="H75" s="34" t="n"/>
      <c r="I75" s="35" t="n">
        <f>G75+H75</f>
        <v>0</v>
      </c>
      <c r="J75" s="8" t="n"/>
      <c r="K75" s="21" t="str">
        <f>IF(A75="","",TEXT(A75,"YYYY-MM"))</f>
        <v/>
      </c>
    </row>
    <row r="76">
      <c r="A76" s="18" t="n"/>
      <c r="B76" s="8" t="n"/>
      <c r="C76" s="8" t="n"/>
      <c r="D76" s="19" t="n"/>
      <c r="E76" s="19" t="n"/>
      <c r="F76" s="19" t="n"/>
      <c r="G76" s="34" t="n"/>
      <c r="H76" s="34" t="n"/>
      <c r="I76" s="35" t="n">
        <f>G76+H76</f>
        <v>0</v>
      </c>
      <c r="J76" s="8" t="n"/>
      <c r="K76" s="21" t="str">
        <f>IF(A76="","",TEXT(A76,"YYYY-MM"))</f>
        <v/>
      </c>
    </row>
    <row r="77">
      <c r="A77" s="18" t="n"/>
      <c r="B77" s="8" t="n"/>
      <c r="C77" s="8" t="n"/>
      <c r="D77" s="19" t="n"/>
      <c r="E77" s="19" t="n"/>
      <c r="F77" s="19" t="n"/>
      <c r="G77" s="34" t="n"/>
      <c r="H77" s="34" t="n"/>
      <c r="I77" s="35" t="n">
        <f>G77+H77</f>
        <v>0</v>
      </c>
      <c r="J77" s="8" t="n"/>
      <c r="K77" s="21" t="str">
        <f>IF(A77="","",TEXT(A77,"YYYY-MM"))</f>
        <v/>
      </c>
    </row>
    <row r="78">
      <c r="A78" s="18" t="n"/>
      <c r="B78" s="8" t="n"/>
      <c r="C78" s="8" t="n"/>
      <c r="D78" s="19" t="n"/>
      <c r="E78" s="19" t="n"/>
      <c r="F78" s="19" t="n"/>
      <c r="G78" s="34" t="n"/>
      <c r="H78" s="34" t="n"/>
      <c r="I78" s="35" t="n">
        <f>G78+H78</f>
        <v>0</v>
      </c>
      <c r="J78" s="8" t="n"/>
      <c r="K78" s="21" t="str">
        <f>IF(A78="","",TEXT(A78,"YYYY-MM"))</f>
        <v/>
      </c>
    </row>
    <row r="79">
      <c r="A79" s="18" t="n"/>
      <c r="B79" s="8" t="n"/>
      <c r="C79" s="8" t="n"/>
      <c r="D79" s="19" t="n"/>
      <c r="E79" s="19" t="n"/>
      <c r="F79" s="19" t="n"/>
      <c r="G79" s="34" t="n"/>
      <c r="H79" s="34" t="n"/>
      <c r="I79" s="35" t="n">
        <f>G79+H79</f>
        <v>0</v>
      </c>
      <c r="J79" s="8" t="n"/>
      <c r="K79" s="21" t="str">
        <f>IF(A79="","",TEXT(A79,"YYYY-MM"))</f>
        <v/>
      </c>
    </row>
    <row r="80">
      <c r="A80" s="18" t="n"/>
      <c r="B80" s="8" t="n"/>
      <c r="C80" s="8" t="n"/>
      <c r="D80" s="19" t="n"/>
      <c r="E80" s="19" t="n"/>
      <c r="F80" s="19" t="n"/>
      <c r="G80" s="34" t="n"/>
      <c r="H80" s="34" t="n"/>
      <c r="I80" s="35" t="n">
        <f>G80+H80</f>
        <v>0</v>
      </c>
      <c r="J80" s="8" t="n"/>
      <c r="K80" s="21" t="str">
        <f>IF(A80="","",TEXT(A80,"YYYY-MM"))</f>
        <v/>
      </c>
    </row>
    <row r="81">
      <c r="A81" s="18" t="n"/>
      <c r="B81" s="8" t="n"/>
      <c r="C81" s="8" t="n"/>
      <c r="D81" s="19" t="n"/>
      <c r="E81" s="19" t="n"/>
      <c r="F81" s="19" t="n"/>
      <c r="G81" s="34" t="n"/>
      <c r="H81" s="34" t="n"/>
      <c r="I81" s="35" t="n">
        <f>G81+H81</f>
        <v>0</v>
      </c>
      <c r="J81" s="8" t="n"/>
      <c r="K81" s="21" t="str">
        <f>IF(A81="","",TEXT(A81,"YYYY-MM"))</f>
        <v/>
      </c>
    </row>
    <row r="82">
      <c r="A82" s="18" t="n"/>
      <c r="B82" s="8" t="n"/>
      <c r="C82" s="8" t="n"/>
      <c r="D82" s="19" t="n"/>
      <c r="E82" s="19" t="n"/>
      <c r="F82" s="19" t="n"/>
      <c r="G82" s="34" t="n"/>
      <c r="H82" s="34" t="n"/>
      <c r="I82" s="35" t="n">
        <f>G82+H82</f>
        <v>0</v>
      </c>
      <c r="J82" s="8" t="n"/>
      <c r="K82" s="21" t="str">
        <f>IF(A82="","",TEXT(A82,"YYYY-MM"))</f>
        <v/>
      </c>
    </row>
    <row r="83">
      <c r="A83" s="18" t="n"/>
      <c r="B83" s="8" t="n"/>
      <c r="C83" s="8" t="n"/>
      <c r="D83" s="19" t="n"/>
      <c r="E83" s="19" t="n"/>
      <c r="F83" s="19" t="n"/>
      <c r="G83" s="34" t="n"/>
      <c r="H83" s="34" t="n"/>
      <c r="I83" s="35" t="n">
        <f>G83+H83</f>
        <v>0</v>
      </c>
      <c r="J83" s="8" t="n"/>
      <c r="K83" s="21" t="str">
        <f>IF(A83="","",TEXT(A83,"YYYY-MM"))</f>
        <v/>
      </c>
    </row>
    <row r="84">
      <c r="A84" s="18" t="n"/>
      <c r="B84" s="8" t="n"/>
      <c r="C84" s="8" t="n"/>
      <c r="D84" s="19" t="n"/>
      <c r="E84" s="19" t="n"/>
      <c r="F84" s="19" t="n"/>
      <c r="G84" s="34" t="n"/>
      <c r="H84" s="34" t="n"/>
      <c r="I84" s="35" t="n">
        <f>G84+H84</f>
        <v>0</v>
      </c>
      <c r="J84" s="8" t="n"/>
      <c r="K84" s="21" t="str">
        <f>IF(A84="","",TEXT(A84,"YYYY-MM"))</f>
        <v/>
      </c>
    </row>
    <row r="85">
      <c r="A85" s="18" t="n"/>
      <c r="B85" s="8" t="n"/>
      <c r="C85" s="8" t="n"/>
      <c r="D85" s="19" t="n"/>
      <c r="E85" s="19" t="n"/>
      <c r="F85" s="19" t="n"/>
      <c r="G85" s="34" t="n"/>
      <c r="H85" s="34" t="n"/>
      <c r="I85" s="35" t="n">
        <f>G85+H85</f>
        <v>0</v>
      </c>
      <c r="J85" s="8" t="n"/>
      <c r="K85" s="21" t="str">
        <f>IF(A85="","",TEXT(A85,"YYYY-MM"))</f>
        <v/>
      </c>
    </row>
    <row r="86">
      <c r="A86" s="18" t="n"/>
      <c r="B86" s="8" t="n"/>
      <c r="C86" s="8" t="n"/>
      <c r="D86" s="19" t="n"/>
      <c r="E86" s="19" t="n"/>
      <c r="F86" s="19" t="n"/>
      <c r="G86" s="34" t="n"/>
      <c r="H86" s="34" t="n"/>
      <c r="I86" s="35" t="n">
        <f>G86+H86</f>
        <v>0</v>
      </c>
      <c r="J86" s="8" t="n"/>
      <c r="K86" s="21" t="str">
        <f>IF(A86="","",TEXT(A86,"YYYY-MM"))</f>
        <v/>
      </c>
    </row>
    <row r="87">
      <c r="A87" s="18" t="n"/>
      <c r="B87" s="8" t="n"/>
      <c r="C87" s="8" t="n"/>
      <c r="D87" s="19" t="n"/>
      <c r="E87" s="19" t="n"/>
      <c r="F87" s="19" t="n"/>
      <c r="G87" s="34" t="n"/>
      <c r="H87" s="34" t="n"/>
      <c r="I87" s="35" t="n">
        <f>G87+H87</f>
        <v>0</v>
      </c>
      <c r="J87" s="8" t="n"/>
      <c r="K87" s="21" t="str">
        <f>IF(A87="","",TEXT(A87,"YYYY-MM"))</f>
        <v/>
      </c>
    </row>
    <row r="88">
      <c r="A88" s="18" t="n"/>
      <c r="B88" s="8" t="n"/>
      <c r="C88" s="8" t="n"/>
      <c r="D88" s="19" t="n"/>
      <c r="E88" s="19" t="n"/>
      <c r="F88" s="19" t="n"/>
      <c r="G88" s="34" t="n"/>
      <c r="H88" s="34" t="n"/>
      <c r="I88" s="35" t="n">
        <f>G88+H88</f>
        <v>0</v>
      </c>
      <c r="J88" s="8" t="n"/>
      <c r="K88" s="21" t="str">
        <f>IF(A88="","",TEXT(A88,"YYYY-MM"))</f>
        <v/>
      </c>
    </row>
    <row r="89">
      <c r="A89" s="18" t="n"/>
      <c r="B89" s="8" t="n"/>
      <c r="C89" s="8" t="n"/>
      <c r="D89" s="19" t="n"/>
      <c r="E89" s="19" t="n"/>
      <c r="F89" s="19" t="n"/>
      <c r="G89" s="34" t="n"/>
      <c r="H89" s="34" t="n"/>
      <c r="I89" s="35" t="n">
        <f>G89+H89</f>
        <v>0</v>
      </c>
      <c r="J89" s="8" t="n"/>
      <c r="K89" s="21" t="str">
        <f>IF(A89="","",TEXT(A89,"YYYY-MM"))</f>
        <v/>
      </c>
    </row>
    <row r="90">
      <c r="A90" s="18" t="n"/>
      <c r="B90" s="8" t="n"/>
      <c r="C90" s="8" t="n"/>
      <c r="D90" s="19" t="n"/>
      <c r="E90" s="19" t="n"/>
      <c r="F90" s="19" t="n"/>
      <c r="G90" s="34" t="n"/>
      <c r="H90" s="34" t="n"/>
      <c r="I90" s="35" t="n">
        <f>G90+H90</f>
        <v>0</v>
      </c>
      <c r="J90" s="8" t="n"/>
      <c r="K90" s="21" t="str">
        <f>IF(A90="","",TEXT(A90,"YYYY-MM"))</f>
        <v/>
      </c>
    </row>
    <row r="91">
      <c r="A91" s="18" t="n"/>
      <c r="B91" s="8" t="n"/>
      <c r="C91" s="8" t="n"/>
      <c r="D91" s="19" t="n"/>
      <c r="E91" s="19" t="n"/>
      <c r="F91" s="19" t="n"/>
      <c r="G91" s="34" t="n"/>
      <c r="H91" s="34" t="n"/>
      <c r="I91" s="35" t="n">
        <f>G91+H91</f>
        <v>0</v>
      </c>
      <c r="J91" s="8" t="n"/>
      <c r="K91" s="21" t="str">
        <f>IF(A91="","",TEXT(A91,"YYYY-MM"))</f>
        <v/>
      </c>
    </row>
    <row r="92">
      <c r="A92" s="18" t="n"/>
      <c r="B92" s="8" t="n"/>
      <c r="C92" s="8" t="n"/>
      <c r="D92" s="19" t="n"/>
      <c r="E92" s="19" t="n"/>
      <c r="F92" s="19" t="n"/>
      <c r="G92" s="34" t="n"/>
      <c r="H92" s="34" t="n"/>
      <c r="I92" s="35" t="n">
        <f>G92+H92</f>
        <v>0</v>
      </c>
      <c r="J92" s="8" t="n"/>
      <c r="K92" s="21" t="str">
        <f>IF(A92="","",TEXT(A92,"YYYY-MM"))</f>
        <v/>
      </c>
    </row>
    <row r="93">
      <c r="A93" s="18" t="n"/>
      <c r="B93" s="8" t="n"/>
      <c r="C93" s="8" t="n"/>
      <c r="D93" s="19" t="n"/>
      <c r="E93" s="19" t="n"/>
      <c r="F93" s="19" t="n"/>
      <c r="G93" s="34" t="n"/>
      <c r="H93" s="34" t="n"/>
      <c r="I93" s="35" t="n">
        <f>G93+H93</f>
        <v>0</v>
      </c>
      <c r="J93" s="8" t="n"/>
      <c r="K93" s="21" t="str">
        <f>IF(A93="","",TEXT(A93,"YYYY-MM"))</f>
        <v/>
      </c>
    </row>
    <row r="94">
      <c r="A94" s="18" t="n"/>
      <c r="B94" s="8" t="n"/>
      <c r="C94" s="8" t="n"/>
      <c r="D94" s="19" t="n"/>
      <c r="E94" s="19" t="n"/>
      <c r="F94" s="19" t="n"/>
      <c r="G94" s="34" t="n"/>
      <c r="H94" s="34" t="n"/>
      <c r="I94" s="35" t="n">
        <f>G94+H94</f>
        <v>0</v>
      </c>
      <c r="J94" s="8" t="n"/>
      <c r="K94" s="21" t="str">
        <f>IF(A94="","",TEXT(A94,"YYYY-MM"))</f>
        <v/>
      </c>
    </row>
    <row r="95">
      <c r="A95" s="18" t="n"/>
      <c r="B95" s="8" t="n"/>
      <c r="C95" s="8" t="n"/>
      <c r="D95" s="19" t="n"/>
      <c r="E95" s="19" t="n"/>
      <c r="F95" s="19" t="n"/>
      <c r="G95" s="34" t="n"/>
      <c r="H95" s="34" t="n"/>
      <c r="I95" s="35" t="n">
        <f>G95+H95</f>
        <v>0</v>
      </c>
      <c r="J95" s="8" t="n"/>
      <c r="K95" s="21" t="str">
        <f>IF(A95="","",TEXT(A95,"YYYY-MM"))</f>
        <v/>
      </c>
    </row>
    <row r="96">
      <c r="A96" s="18" t="n"/>
      <c r="B96" s="8" t="n"/>
      <c r="C96" s="8" t="n"/>
      <c r="D96" s="19" t="n"/>
      <c r="E96" s="19" t="n"/>
      <c r="F96" s="19" t="n"/>
      <c r="G96" s="34" t="n"/>
      <c r="H96" s="34" t="n"/>
      <c r="I96" s="35" t="n">
        <f>G96+H96</f>
        <v>0</v>
      </c>
      <c r="J96" s="8" t="n"/>
      <c r="K96" s="21" t="str">
        <f>IF(A96="","",TEXT(A96,"YYYY-MM"))</f>
        <v/>
      </c>
    </row>
    <row r="97">
      <c r="A97" s="18" t="n"/>
      <c r="B97" s="8" t="n"/>
      <c r="C97" s="8" t="n"/>
      <c r="D97" s="19" t="n"/>
      <c r="E97" s="19" t="n"/>
      <c r="F97" s="19" t="n"/>
      <c r="G97" s="34" t="n"/>
      <c r="H97" s="34" t="n"/>
      <c r="I97" s="35" t="n">
        <f>G97+H97</f>
        <v>0</v>
      </c>
      <c r="J97" s="8" t="n"/>
      <c r="K97" s="21" t="str">
        <f>IF(A97="","",TEXT(A97,"YYYY-MM"))</f>
        <v/>
      </c>
    </row>
    <row r="98">
      <c r="A98" s="18" t="n"/>
      <c r="B98" s="8" t="n"/>
      <c r="C98" s="8" t="n"/>
      <c r="D98" s="19" t="n"/>
      <c r="E98" s="19" t="n"/>
      <c r="F98" s="19" t="n"/>
      <c r="G98" s="34" t="n"/>
      <c r="H98" s="34" t="n"/>
      <c r="I98" s="35" t="n">
        <f>G98+H98</f>
        <v>0</v>
      </c>
      <c r="J98" s="8" t="n"/>
      <c r="K98" s="21" t="str">
        <f>IF(A98="","",TEXT(A98,"YYYY-MM"))</f>
        <v/>
      </c>
    </row>
    <row r="99">
      <c r="A99" s="18" t="n"/>
      <c r="B99" s="8" t="n"/>
      <c r="C99" s="8" t="n"/>
      <c r="D99" s="19" t="n"/>
      <c r="E99" s="19" t="n"/>
      <c r="F99" s="19" t="n"/>
      <c r="G99" s="34" t="n"/>
      <c r="H99" s="34" t="n"/>
      <c r="I99" s="35" t="n">
        <f>G99+H99</f>
        <v>0</v>
      </c>
      <c r="J99" s="8" t="n"/>
      <c r="K99" s="21" t="str">
        <f>IF(A99="","",TEXT(A99,"YYYY-MM"))</f>
        <v/>
      </c>
    </row>
    <row r="100">
      <c r="A100" s="18" t="n"/>
      <c r="B100" s="8" t="n"/>
      <c r="C100" s="8" t="n"/>
      <c r="D100" s="19" t="n"/>
      <c r="E100" s="19" t="n"/>
      <c r="F100" s="19" t="n"/>
      <c r="G100" s="34" t="n"/>
      <c r="H100" s="34" t="n"/>
      <c r="I100" s="35" t="n">
        <f>G100+H100</f>
        <v>0</v>
      </c>
      <c r="J100" s="8" t="n"/>
      <c r="K100" s="21" t="str">
        <f>IF(A100="","",TEXT(A100,"YYYY-MM"))</f>
        <v/>
      </c>
    </row>
    <row r="101">
      <c r="A101" s="18" t="n"/>
      <c r="B101" s="8" t="n"/>
      <c r="C101" s="8" t="n"/>
      <c r="D101" s="19" t="n"/>
      <c r="E101" s="19" t="n"/>
      <c r="F101" s="19" t="n"/>
      <c r="G101" s="34" t="n"/>
      <c r="H101" s="34" t="n"/>
      <c r="I101" s="35" t="n">
        <f>G101+H101</f>
        <v>0</v>
      </c>
      <c r="J101" s="8" t="n"/>
      <c r="K101" s="21" t="str">
        <f>IF(A101="","",TEXT(A101,"YYYY-MM"))</f>
        <v/>
      </c>
    </row>
    <row r="102">
      <c r="A102" s="18" t="n"/>
      <c r="B102" s="8" t="n"/>
      <c r="C102" s="8" t="n"/>
      <c r="D102" s="19" t="n"/>
      <c r="E102" s="19" t="n"/>
      <c r="F102" s="19" t="n"/>
      <c r="G102" s="34" t="n"/>
      <c r="H102" s="34" t="n"/>
      <c r="I102" s="35" t="n">
        <f>G102+H102</f>
        <v>0</v>
      </c>
      <c r="J102" s="8" t="n"/>
      <c r="K102" s="21" t="str">
        <f>IF(A102="","",TEXT(A102,"YYYY-MM"))</f>
        <v/>
      </c>
    </row>
    <row r="103">
      <c r="A103" s="18" t="n"/>
      <c r="B103" s="8" t="n"/>
      <c r="C103" s="8" t="n"/>
      <c r="D103" s="19" t="n"/>
      <c r="E103" s="19" t="n"/>
      <c r="F103" s="19" t="n"/>
      <c r="G103" s="34" t="n"/>
      <c r="H103" s="34" t="n"/>
      <c r="I103" s="35" t="n">
        <f>G103+H103</f>
        <v>0</v>
      </c>
      <c r="J103" s="8" t="n"/>
      <c r="K103" s="21" t="str">
        <f>IF(A103="","",TEXT(A103,"YYYY-MM"))</f>
        <v/>
      </c>
    </row>
    <row r="104">
      <c r="A104" s="18" t="n"/>
      <c r="B104" s="8" t="n"/>
      <c r="C104" s="8" t="n"/>
      <c r="D104" s="19" t="n"/>
      <c r="E104" s="19" t="n"/>
      <c r="F104" s="19" t="n"/>
      <c r="G104" s="34" t="n"/>
      <c r="H104" s="34" t="n"/>
      <c r="I104" s="35" t="n">
        <f>G104+H104</f>
        <v>0</v>
      </c>
      <c r="J104" s="8" t="n"/>
      <c r="K104" s="21" t="str">
        <f>IF(A104="","",TEXT(A104,"YYYY-MM"))</f>
        <v/>
      </c>
    </row>
    <row r="105">
      <c r="A105" s="18" t="n"/>
      <c r="B105" s="8" t="n"/>
      <c r="C105" s="8" t="n"/>
      <c r="D105" s="19" t="n"/>
      <c r="E105" s="19" t="n"/>
      <c r="F105" s="19" t="n"/>
      <c r="G105" s="34" t="n"/>
      <c r="H105" s="34" t="n"/>
      <c r="I105" s="35" t="n">
        <f>G105+H105</f>
        <v>0</v>
      </c>
      <c r="J105" s="8" t="n"/>
      <c r="K105" s="21" t="str">
        <f>IF(A105="","",TEXT(A105,"YYYY-MM"))</f>
        <v/>
      </c>
    </row>
    <row r="106">
      <c r="A106" s="18" t="n"/>
      <c r="B106" s="8" t="n"/>
      <c r="C106" s="8" t="n"/>
      <c r="D106" s="19" t="n"/>
      <c r="E106" s="19" t="n"/>
      <c r="F106" s="19" t="n"/>
      <c r="G106" s="34" t="n"/>
      <c r="H106" s="34" t="n"/>
      <c r="I106" s="35" t="n">
        <f>G106+H106</f>
        <v>0</v>
      </c>
      <c r="J106" s="8" t="n"/>
      <c r="K106" s="21" t="str">
        <f>IF(A106="","",TEXT(A106,"YYYY-MM"))</f>
        <v/>
      </c>
    </row>
    <row r="107">
      <c r="A107" s="18" t="n"/>
      <c r="B107" s="8" t="n"/>
      <c r="C107" s="8" t="n"/>
      <c r="D107" s="19" t="n"/>
      <c r="E107" s="19" t="n"/>
      <c r="F107" s="19" t="n"/>
      <c r="G107" s="34" t="n"/>
      <c r="H107" s="34" t="n"/>
      <c r="I107" s="35" t="n">
        <f>G107+H107</f>
        <v>0</v>
      </c>
      <c r="J107" s="8" t="n"/>
      <c r="K107" s="21" t="str">
        <f>IF(A107="","",TEXT(A107,"YYYY-MM"))</f>
        <v/>
      </c>
    </row>
    <row r="108">
      <c r="A108" s="18" t="n"/>
      <c r="B108" s="8" t="n"/>
      <c r="C108" s="8" t="n"/>
      <c r="D108" s="19" t="n"/>
      <c r="E108" s="19" t="n"/>
      <c r="F108" s="19" t="n"/>
      <c r="G108" s="34" t="n"/>
      <c r="H108" s="34" t="n"/>
      <c r="I108" s="35" t="n">
        <f>G108+H108</f>
        <v>0</v>
      </c>
      <c r="J108" s="8" t="n"/>
      <c r="K108" s="21" t="str">
        <f>IF(A108="","",TEXT(A108,"YYYY-MM"))</f>
        <v/>
      </c>
    </row>
    <row r="109">
      <c r="A109" s="18" t="n"/>
      <c r="B109" s="8" t="n"/>
      <c r="C109" s="8" t="n"/>
      <c r="D109" s="19" t="n"/>
      <c r="E109" s="19" t="n"/>
      <c r="F109" s="19" t="n"/>
      <c r="G109" s="34" t="n"/>
      <c r="H109" s="34" t="n"/>
      <c r="I109" s="35" t="n">
        <f>G109+H109</f>
        <v>0</v>
      </c>
      <c r="J109" s="8" t="n"/>
      <c r="K109" s="21" t="str">
        <f>IF(A109="","",TEXT(A109,"YYYY-MM"))</f>
        <v/>
      </c>
    </row>
    <row r="110">
      <c r="A110" s="18" t="n"/>
      <c r="B110" s="8" t="n"/>
      <c r="C110" s="8" t="n"/>
      <c r="D110" s="19" t="n"/>
      <c r="E110" s="19" t="n"/>
      <c r="F110" s="19" t="n"/>
      <c r="G110" s="34" t="n"/>
      <c r="H110" s="34" t="n"/>
      <c r="I110" s="35" t="n">
        <f>G110+H110</f>
        <v>0</v>
      </c>
      <c r="J110" s="8" t="n"/>
      <c r="K110" s="21" t="str">
        <f>IF(A110="","",TEXT(A110,"YYYY-MM"))</f>
        <v/>
      </c>
    </row>
    <row r="111">
      <c r="A111" s="18" t="n"/>
      <c r="B111" s="8" t="n"/>
      <c r="C111" s="8" t="n"/>
      <c r="D111" s="19" t="n"/>
      <c r="E111" s="19" t="n"/>
      <c r="F111" s="19" t="n"/>
      <c r="G111" s="34" t="n"/>
      <c r="H111" s="34" t="n"/>
      <c r="I111" s="35" t="n">
        <f>G111+H111</f>
        <v>0</v>
      </c>
      <c r="J111" s="8" t="n"/>
      <c r="K111" s="21" t="str">
        <f>IF(A111="","",TEXT(A111,"YYYY-MM"))</f>
        <v/>
      </c>
    </row>
    <row r="112">
      <c r="A112" s="18" t="n"/>
      <c r="B112" s="8" t="n"/>
      <c r="C112" s="8" t="n"/>
      <c r="D112" s="19" t="n"/>
      <c r="E112" s="19" t="n"/>
      <c r="F112" s="19" t="n"/>
      <c r="G112" s="34" t="n"/>
      <c r="H112" s="34" t="n"/>
      <c r="I112" s="35" t="n">
        <f>G112+H112</f>
        <v>0</v>
      </c>
      <c r="J112" s="8" t="n"/>
      <c r="K112" s="21" t="str">
        <f>IF(A112="","",TEXT(A112,"YYYY-MM"))</f>
        <v/>
      </c>
    </row>
    <row r="113">
      <c r="A113" s="18" t="n"/>
      <c r="B113" s="8" t="n"/>
      <c r="C113" s="8" t="n"/>
      <c r="D113" s="19" t="n"/>
      <c r="E113" s="19" t="n"/>
      <c r="F113" s="19" t="n"/>
      <c r="G113" s="34" t="n"/>
      <c r="H113" s="34" t="n"/>
      <c r="I113" s="35" t="n">
        <f>G113+H113</f>
        <v>0</v>
      </c>
      <c r="J113" s="8" t="n"/>
      <c r="K113" s="21" t="str">
        <f>IF(A113="","",TEXT(A113,"YYYY-MM"))</f>
        <v/>
      </c>
    </row>
    <row r="114">
      <c r="A114" s="18" t="n"/>
      <c r="B114" s="8" t="n"/>
      <c r="C114" s="8" t="n"/>
      <c r="D114" s="19" t="n"/>
      <c r="E114" s="19" t="n"/>
      <c r="F114" s="19" t="n"/>
      <c r="G114" s="34" t="n"/>
      <c r="H114" s="34" t="n"/>
      <c r="I114" s="35" t="n">
        <f>G114+H114</f>
        <v>0</v>
      </c>
      <c r="J114" s="8" t="n"/>
      <c r="K114" s="21" t="str">
        <f>IF(A114="","",TEXT(A114,"YYYY-MM"))</f>
        <v/>
      </c>
    </row>
    <row r="115">
      <c r="A115" s="18" t="n"/>
      <c r="B115" s="8" t="n"/>
      <c r="C115" s="8" t="n"/>
      <c r="D115" s="19" t="n"/>
      <c r="E115" s="19" t="n"/>
      <c r="F115" s="19" t="n"/>
      <c r="G115" s="34" t="n"/>
      <c r="H115" s="34" t="n"/>
      <c r="I115" s="35" t="n">
        <f>G115+H115</f>
        <v>0</v>
      </c>
      <c r="J115" s="8" t="n"/>
      <c r="K115" s="21" t="str">
        <f>IF(A115="","",TEXT(A115,"YYYY-MM"))</f>
        <v/>
      </c>
    </row>
    <row r="116">
      <c r="A116" s="18" t="n"/>
      <c r="B116" s="8" t="n"/>
      <c r="C116" s="8" t="n"/>
      <c r="D116" s="19" t="n"/>
      <c r="E116" s="19" t="n"/>
      <c r="F116" s="19" t="n"/>
      <c r="G116" s="34" t="n"/>
      <c r="H116" s="34" t="n"/>
      <c r="I116" s="35" t="n">
        <f>G116+H116</f>
        <v>0</v>
      </c>
      <c r="J116" s="8" t="n"/>
      <c r="K116" s="21" t="str">
        <f>IF(A116="","",TEXT(A116,"YYYY-MM"))</f>
        <v/>
      </c>
    </row>
    <row r="117">
      <c r="A117" s="18" t="n"/>
      <c r="B117" s="8" t="n"/>
      <c r="C117" s="8" t="n"/>
      <c r="D117" s="19" t="n"/>
      <c r="E117" s="19" t="n"/>
      <c r="F117" s="19" t="n"/>
      <c r="G117" s="34" t="n"/>
      <c r="H117" s="34" t="n"/>
      <c r="I117" s="35" t="n">
        <f>G117+H117</f>
        <v>0</v>
      </c>
      <c r="J117" s="8" t="n"/>
      <c r="K117" s="21" t="str">
        <f>IF(A117="","",TEXT(A117,"YYYY-MM"))</f>
        <v/>
      </c>
    </row>
    <row r="118">
      <c r="A118" s="18" t="n"/>
      <c r="B118" s="8" t="n"/>
      <c r="C118" s="8" t="n"/>
      <c r="D118" s="19" t="n"/>
      <c r="E118" s="19" t="n"/>
      <c r="F118" s="19" t="n"/>
      <c r="G118" s="34" t="n"/>
      <c r="H118" s="34" t="n"/>
      <c r="I118" s="35" t="n">
        <f>G118+H118</f>
        <v>0</v>
      </c>
      <c r="J118" s="8" t="n"/>
      <c r="K118" s="21" t="str">
        <f>IF(A118="","",TEXT(A118,"YYYY-MM"))</f>
        <v/>
      </c>
    </row>
    <row r="119">
      <c r="A119" s="18" t="n"/>
      <c r="B119" s="8" t="n"/>
      <c r="C119" s="8" t="n"/>
      <c r="D119" s="19" t="n"/>
      <c r="E119" s="19" t="n"/>
      <c r="F119" s="19" t="n"/>
      <c r="G119" s="34" t="n"/>
      <c r="H119" s="34" t="n"/>
      <c r="I119" s="35" t="n">
        <f>G119+H119</f>
        <v>0</v>
      </c>
      <c r="J119" s="8" t="n"/>
      <c r="K119" s="21" t="str">
        <f>IF(A119="","",TEXT(A119,"YYYY-MM"))</f>
        <v/>
      </c>
    </row>
    <row r="120">
      <c r="A120" s="18" t="n"/>
      <c r="B120" s="8" t="n"/>
      <c r="C120" s="8" t="n"/>
      <c r="D120" s="19" t="n"/>
      <c r="E120" s="19" t="n"/>
      <c r="F120" s="19" t="n"/>
      <c r="G120" s="34" t="n"/>
      <c r="H120" s="34" t="n"/>
      <c r="I120" s="35" t="n">
        <f>G120+H120</f>
        <v>0</v>
      </c>
      <c r="J120" s="8" t="n"/>
      <c r="K120" s="21" t="str">
        <f>IF(A120="","",TEXT(A120,"YYYY-MM"))</f>
        <v/>
      </c>
    </row>
    <row r="121">
      <c r="A121" s="18" t="n"/>
      <c r="B121" s="8" t="n"/>
      <c r="C121" s="8" t="n"/>
      <c r="D121" s="19" t="n"/>
      <c r="E121" s="19" t="n"/>
      <c r="F121" s="19" t="n"/>
      <c r="G121" s="34" t="n"/>
      <c r="H121" s="34" t="n"/>
      <c r="I121" s="35" t="n">
        <f>G121+H121</f>
        <v>0</v>
      </c>
      <c r="J121" s="8" t="n"/>
      <c r="K121" s="21" t="str">
        <f>IF(A121="","",TEXT(A121,"YYYY-MM"))</f>
        <v/>
      </c>
    </row>
    <row r="122">
      <c r="A122" s="18" t="n"/>
      <c r="B122" s="8" t="n"/>
      <c r="C122" s="8" t="n"/>
      <c r="D122" s="19" t="n"/>
      <c r="E122" s="19" t="n"/>
      <c r="F122" s="19" t="n"/>
      <c r="G122" s="34" t="n"/>
      <c r="H122" s="34" t="n"/>
      <c r="I122" s="35" t="n">
        <f>G122+H122</f>
        <v>0</v>
      </c>
      <c r="J122" s="8" t="n"/>
      <c r="K122" s="21" t="str">
        <f>IF(A122="","",TEXT(A122,"YYYY-MM"))</f>
        <v/>
      </c>
    </row>
    <row r="123">
      <c r="A123" s="18" t="n"/>
      <c r="B123" s="8" t="n"/>
      <c r="C123" s="8" t="n"/>
      <c r="D123" s="19" t="n"/>
      <c r="E123" s="19" t="n"/>
      <c r="F123" s="19" t="n"/>
      <c r="G123" s="34" t="n"/>
      <c r="H123" s="34" t="n"/>
      <c r="I123" s="35" t="n">
        <f>G123+H123</f>
        <v>0</v>
      </c>
      <c r="J123" s="8" t="n"/>
      <c r="K123" s="21" t="str">
        <f>IF(A123="","",TEXT(A123,"YYYY-MM"))</f>
        <v/>
      </c>
    </row>
    <row r="124">
      <c r="A124" s="18" t="n"/>
      <c r="B124" s="8" t="n"/>
      <c r="C124" s="8" t="n"/>
      <c r="D124" s="19" t="n"/>
      <c r="E124" s="19" t="n"/>
      <c r="F124" s="19" t="n"/>
      <c r="G124" s="34" t="n"/>
      <c r="H124" s="34" t="n"/>
      <c r="I124" s="35" t="n">
        <f>G124+H124</f>
        <v>0</v>
      </c>
      <c r="J124" s="8" t="n"/>
      <c r="K124" s="21" t="str">
        <f>IF(A124="","",TEXT(A124,"YYYY-MM"))</f>
        <v/>
      </c>
    </row>
    <row r="125">
      <c r="A125" s="18" t="n"/>
      <c r="B125" s="8" t="n"/>
      <c r="C125" s="8" t="n"/>
      <c r="D125" s="19" t="n"/>
      <c r="E125" s="19" t="n"/>
      <c r="F125" s="19" t="n"/>
      <c r="G125" s="34" t="n"/>
      <c r="H125" s="34" t="n"/>
      <c r="I125" s="35" t="n">
        <f>G125+H125</f>
        <v>0</v>
      </c>
      <c r="J125" s="8" t="n"/>
      <c r="K125" s="21" t="str">
        <f>IF(A125="","",TEXT(A125,"YYYY-MM"))</f>
        <v/>
      </c>
    </row>
    <row r="126">
      <c r="A126" s="18" t="n"/>
      <c r="B126" s="8" t="n"/>
      <c r="C126" s="8" t="n"/>
      <c r="D126" s="19" t="n"/>
      <c r="E126" s="19" t="n"/>
      <c r="F126" s="19" t="n"/>
      <c r="G126" s="34" t="n"/>
      <c r="H126" s="34" t="n"/>
      <c r="I126" s="35" t="n">
        <f>G126+H126</f>
        <v>0</v>
      </c>
      <c r="J126" s="8" t="n"/>
      <c r="K126" s="21" t="str">
        <f>IF(A126="","",TEXT(A126,"YYYY-MM"))</f>
        <v/>
      </c>
    </row>
    <row r="127">
      <c r="A127" s="18" t="n"/>
      <c r="B127" s="8" t="n"/>
      <c r="C127" s="8" t="n"/>
      <c r="D127" s="19" t="n"/>
      <c r="E127" s="19" t="n"/>
      <c r="F127" s="19" t="n"/>
      <c r="G127" s="34" t="n"/>
      <c r="H127" s="34" t="n"/>
      <c r="I127" s="35" t="n">
        <f>G127+H127</f>
        <v>0</v>
      </c>
      <c r="J127" s="8" t="n"/>
      <c r="K127" s="21" t="str">
        <f>IF(A127="","",TEXT(A127,"YYYY-MM"))</f>
        <v/>
      </c>
    </row>
    <row r="128">
      <c r="A128" s="18" t="n"/>
      <c r="B128" s="8" t="n"/>
      <c r="C128" s="8" t="n"/>
      <c r="D128" s="19" t="n"/>
      <c r="E128" s="19" t="n"/>
      <c r="F128" s="19" t="n"/>
      <c r="G128" s="34" t="n"/>
      <c r="H128" s="34" t="n"/>
      <c r="I128" s="35" t="n">
        <f>G128+H128</f>
        <v>0</v>
      </c>
      <c r="J128" s="8" t="n"/>
      <c r="K128" s="21" t="str">
        <f>IF(A128="","",TEXT(A128,"YYYY-MM"))</f>
        <v/>
      </c>
    </row>
    <row r="129">
      <c r="A129" s="18" t="n"/>
      <c r="B129" s="8" t="n"/>
      <c r="C129" s="8" t="n"/>
      <c r="D129" s="19" t="n"/>
      <c r="E129" s="19" t="n"/>
      <c r="F129" s="19" t="n"/>
      <c r="G129" s="34" t="n"/>
      <c r="H129" s="34" t="n"/>
      <c r="I129" s="35" t="n">
        <f>G129+H129</f>
        <v>0</v>
      </c>
      <c r="J129" s="8" t="n"/>
      <c r="K129" s="21" t="str">
        <f>IF(A129="","",TEXT(A129,"YYYY-MM"))</f>
        <v/>
      </c>
    </row>
    <row r="130">
      <c r="A130" s="18" t="n"/>
      <c r="B130" s="8" t="n"/>
      <c r="C130" s="8" t="n"/>
      <c r="D130" s="19" t="n"/>
      <c r="E130" s="19" t="n"/>
      <c r="F130" s="19" t="n"/>
      <c r="G130" s="34" t="n"/>
      <c r="H130" s="34" t="n"/>
      <c r="I130" s="35" t="n">
        <f>G130+H130</f>
        <v>0</v>
      </c>
      <c r="J130" s="8" t="n"/>
      <c r="K130" s="21" t="str">
        <f>IF(A130="","",TEXT(A130,"YYYY-MM"))</f>
        <v/>
      </c>
    </row>
    <row r="131">
      <c r="A131" s="18" t="n"/>
      <c r="B131" s="8" t="n"/>
      <c r="C131" s="8" t="n"/>
      <c r="D131" s="19" t="n"/>
      <c r="E131" s="19" t="n"/>
      <c r="F131" s="19" t="n"/>
      <c r="G131" s="34" t="n"/>
      <c r="H131" s="34" t="n"/>
      <c r="I131" s="35" t="n">
        <f>G131+H131</f>
        <v>0</v>
      </c>
      <c r="J131" s="8" t="n"/>
      <c r="K131" s="21" t="str">
        <f>IF(A131="","",TEXT(A131,"YYYY-MM"))</f>
        <v/>
      </c>
    </row>
    <row r="132">
      <c r="A132" s="18" t="n"/>
      <c r="B132" s="8" t="n"/>
      <c r="C132" s="8" t="n"/>
      <c r="D132" s="19" t="n"/>
      <c r="E132" s="19" t="n"/>
      <c r="F132" s="19" t="n"/>
      <c r="G132" s="34" t="n"/>
      <c r="H132" s="34" t="n"/>
      <c r="I132" s="35" t="n">
        <f>G132+H132</f>
        <v>0</v>
      </c>
      <c r="J132" s="8" t="n"/>
      <c r="K132" s="21" t="str">
        <f>IF(A132="","",TEXT(A132,"YYYY-MM"))</f>
        <v/>
      </c>
    </row>
    <row r="133">
      <c r="A133" s="18" t="n"/>
      <c r="B133" s="8" t="n"/>
      <c r="C133" s="8" t="n"/>
      <c r="D133" s="19" t="n"/>
      <c r="E133" s="19" t="n"/>
      <c r="F133" s="19" t="n"/>
      <c r="G133" s="34" t="n"/>
      <c r="H133" s="34" t="n"/>
      <c r="I133" s="35" t="n">
        <f>G133+H133</f>
        <v>0</v>
      </c>
      <c r="J133" s="8" t="n"/>
      <c r="K133" s="21" t="str">
        <f>IF(A133="","",TEXT(A133,"YYYY-MM"))</f>
        <v/>
      </c>
    </row>
    <row r="134">
      <c r="A134" s="18" t="n"/>
      <c r="B134" s="8" t="n"/>
      <c r="C134" s="8" t="n"/>
      <c r="D134" s="19" t="n"/>
      <c r="E134" s="19" t="n"/>
      <c r="F134" s="19" t="n"/>
      <c r="G134" s="34" t="n"/>
      <c r="H134" s="34" t="n"/>
      <c r="I134" s="35" t="n">
        <f>G134+H134</f>
        <v>0</v>
      </c>
      <c r="J134" s="8" t="n"/>
      <c r="K134" s="21" t="str">
        <f>IF(A134="","",TEXT(A134,"YYYY-MM"))</f>
        <v/>
      </c>
    </row>
    <row r="135">
      <c r="A135" s="18" t="n"/>
      <c r="B135" s="8" t="n"/>
      <c r="C135" s="8" t="n"/>
      <c r="D135" s="19" t="n"/>
      <c r="E135" s="19" t="n"/>
      <c r="F135" s="19" t="n"/>
      <c r="G135" s="34" t="n"/>
      <c r="H135" s="34" t="n"/>
      <c r="I135" s="35" t="n">
        <f>G135+H135</f>
        <v>0</v>
      </c>
      <c r="J135" s="8" t="n"/>
      <c r="K135" s="21" t="str">
        <f>IF(A135="","",TEXT(A135,"YYYY-MM"))</f>
        <v/>
      </c>
    </row>
    <row r="136">
      <c r="A136" s="18" t="n"/>
      <c r="B136" s="8" t="n"/>
      <c r="C136" s="8" t="n"/>
      <c r="D136" s="19" t="n"/>
      <c r="E136" s="19" t="n"/>
      <c r="F136" s="19" t="n"/>
      <c r="G136" s="34" t="n"/>
      <c r="H136" s="34" t="n"/>
      <c r="I136" s="35" t="n">
        <f>G136+H136</f>
        <v>0</v>
      </c>
      <c r="J136" s="8" t="n"/>
      <c r="K136" s="21" t="str">
        <f>IF(A136="","",TEXT(A136,"YYYY-MM"))</f>
        <v/>
      </c>
    </row>
    <row r="137">
      <c r="A137" s="18" t="n"/>
      <c r="B137" s="8" t="n"/>
      <c r="C137" s="8" t="n"/>
      <c r="D137" s="19" t="n"/>
      <c r="E137" s="19" t="n"/>
      <c r="F137" s="19" t="n"/>
      <c r="G137" s="34" t="n"/>
      <c r="H137" s="34" t="n"/>
      <c r="I137" s="35" t="n">
        <f>G137+H137</f>
        <v>0</v>
      </c>
      <c r="J137" s="8" t="n"/>
      <c r="K137" s="21" t="str">
        <f>IF(A137="","",TEXT(A137,"YYYY-MM"))</f>
        <v/>
      </c>
    </row>
    <row r="138">
      <c r="A138" s="18" t="n"/>
      <c r="B138" s="8" t="n"/>
      <c r="C138" s="8" t="n"/>
      <c r="D138" s="19" t="n"/>
      <c r="E138" s="19" t="n"/>
      <c r="F138" s="19" t="n"/>
      <c r="G138" s="34" t="n"/>
      <c r="H138" s="34" t="n"/>
      <c r="I138" s="35" t="n">
        <f>G138+H138</f>
        <v>0</v>
      </c>
      <c r="J138" s="8" t="n"/>
      <c r="K138" s="21" t="str">
        <f>IF(A138="","",TEXT(A138,"YYYY-MM"))</f>
        <v/>
      </c>
    </row>
    <row r="139">
      <c r="A139" s="18" t="n"/>
      <c r="B139" s="8" t="n"/>
      <c r="C139" s="8" t="n"/>
      <c r="D139" s="19" t="n"/>
      <c r="E139" s="19" t="n"/>
      <c r="F139" s="19" t="n"/>
      <c r="G139" s="34" t="n"/>
      <c r="H139" s="34" t="n"/>
      <c r="I139" s="35" t="n">
        <f>G139+H139</f>
        <v>0</v>
      </c>
      <c r="J139" s="8" t="n"/>
      <c r="K139" s="21" t="str">
        <f>IF(A139="","",TEXT(A139,"YYYY-MM"))</f>
        <v/>
      </c>
    </row>
    <row r="140">
      <c r="A140" s="18" t="n"/>
      <c r="B140" s="8" t="n"/>
      <c r="C140" s="8" t="n"/>
      <c r="D140" s="19" t="n"/>
      <c r="E140" s="19" t="n"/>
      <c r="F140" s="19" t="n"/>
      <c r="G140" s="34" t="n"/>
      <c r="H140" s="34" t="n"/>
      <c r="I140" s="35" t="n">
        <f>G140+H140</f>
        <v>0</v>
      </c>
      <c r="J140" s="8" t="n"/>
      <c r="K140" s="21" t="str">
        <f>IF(A140="","",TEXT(A140,"YYYY-MM"))</f>
        <v/>
      </c>
    </row>
    <row r="141">
      <c r="A141" s="18" t="n"/>
      <c r="B141" s="8" t="n"/>
      <c r="C141" s="8" t="n"/>
      <c r="D141" s="19" t="n"/>
      <c r="E141" s="19" t="n"/>
      <c r="F141" s="19" t="n"/>
      <c r="G141" s="34" t="n"/>
      <c r="H141" s="34" t="n"/>
      <c r="I141" s="35" t="n">
        <f>G141+H141</f>
        <v>0</v>
      </c>
      <c r="J141" s="8" t="n"/>
      <c r="K141" s="21" t="str">
        <f>IF(A141="","",TEXT(A141,"YYYY-MM"))</f>
        <v/>
      </c>
    </row>
    <row r="142">
      <c r="A142" s="18" t="n"/>
      <c r="B142" s="8" t="n"/>
      <c r="C142" s="8" t="n"/>
      <c r="D142" s="19" t="n"/>
      <c r="E142" s="19" t="n"/>
      <c r="F142" s="19" t="n"/>
      <c r="G142" s="34" t="n"/>
      <c r="H142" s="34" t="n"/>
      <c r="I142" s="35" t="n">
        <f>G142+H142</f>
        <v>0</v>
      </c>
      <c r="J142" s="8" t="n"/>
      <c r="K142" s="21" t="str">
        <f>IF(A142="","",TEXT(A142,"YYYY-MM"))</f>
        <v/>
      </c>
    </row>
    <row r="143">
      <c r="A143" s="18" t="n"/>
      <c r="B143" s="8" t="n"/>
      <c r="C143" s="8" t="n"/>
      <c r="D143" s="19" t="n"/>
      <c r="E143" s="19" t="n"/>
      <c r="F143" s="19" t="n"/>
      <c r="G143" s="34" t="n"/>
      <c r="H143" s="34" t="n"/>
      <c r="I143" s="35" t="n">
        <f>G143+H143</f>
        <v>0</v>
      </c>
      <c r="J143" s="8" t="n"/>
      <c r="K143" s="21" t="str">
        <f>IF(A143="","",TEXT(A143,"YYYY-MM"))</f>
        <v/>
      </c>
    </row>
    <row r="144">
      <c r="A144" s="18" t="n"/>
      <c r="B144" s="8" t="n"/>
      <c r="C144" s="8" t="n"/>
      <c r="D144" s="19" t="n"/>
      <c r="E144" s="19" t="n"/>
      <c r="F144" s="19" t="n"/>
      <c r="G144" s="34" t="n"/>
      <c r="H144" s="34" t="n"/>
      <c r="I144" s="35" t="n">
        <f>G144+H144</f>
        <v>0</v>
      </c>
      <c r="J144" s="8" t="n"/>
      <c r="K144" s="21" t="str">
        <f>IF(A144="","",TEXT(A144,"YYYY-MM"))</f>
        <v/>
      </c>
    </row>
    <row r="145">
      <c r="A145" s="18" t="n"/>
      <c r="B145" s="8" t="n"/>
      <c r="C145" s="8" t="n"/>
      <c r="D145" s="19" t="n"/>
      <c r="E145" s="19" t="n"/>
      <c r="F145" s="19" t="n"/>
      <c r="G145" s="34" t="n"/>
      <c r="H145" s="34" t="n"/>
      <c r="I145" s="35" t="n">
        <f>G145+H145</f>
        <v>0</v>
      </c>
      <c r="J145" s="8" t="n"/>
      <c r="K145" s="21" t="str">
        <f>IF(A145="","",TEXT(A145,"YYYY-MM"))</f>
        <v/>
      </c>
    </row>
    <row r="146">
      <c r="A146" s="18" t="n"/>
      <c r="B146" s="8" t="n"/>
      <c r="C146" s="8" t="n"/>
      <c r="D146" s="19" t="n"/>
      <c r="E146" s="19" t="n"/>
      <c r="F146" s="19" t="n"/>
      <c r="G146" s="34" t="n"/>
      <c r="H146" s="34" t="n"/>
      <c r="I146" s="35" t="n">
        <f>G146+H146</f>
        <v>0</v>
      </c>
      <c r="J146" s="8" t="n"/>
      <c r="K146" s="21" t="str">
        <f>IF(A146="","",TEXT(A146,"YYYY-MM"))</f>
        <v/>
      </c>
    </row>
    <row r="147">
      <c r="A147" s="18" t="n"/>
      <c r="B147" s="8" t="n"/>
      <c r="C147" s="8" t="n"/>
      <c r="D147" s="19" t="n"/>
      <c r="E147" s="19" t="n"/>
      <c r="F147" s="19" t="n"/>
      <c r="G147" s="34" t="n"/>
      <c r="H147" s="34" t="n"/>
      <c r="I147" s="35" t="n">
        <f>G147+H147</f>
        <v>0</v>
      </c>
      <c r="J147" s="8" t="n"/>
      <c r="K147" s="21" t="str">
        <f>IF(A147="","",TEXT(A147,"YYYY-MM"))</f>
        <v/>
      </c>
    </row>
    <row r="148">
      <c r="A148" s="18" t="n"/>
      <c r="B148" s="8" t="n"/>
      <c r="C148" s="8" t="n"/>
      <c r="D148" s="19" t="n"/>
      <c r="E148" s="19" t="n"/>
      <c r="F148" s="19" t="n"/>
      <c r="G148" s="34" t="n"/>
      <c r="H148" s="34" t="n"/>
      <c r="I148" s="35" t="n">
        <f>G148+H148</f>
        <v>0</v>
      </c>
      <c r="J148" s="8" t="n"/>
      <c r="K148" s="21" t="str">
        <f>IF(A148="","",TEXT(A148,"YYYY-MM"))</f>
        <v/>
      </c>
    </row>
    <row r="149">
      <c r="A149" s="18" t="n"/>
      <c r="B149" s="8" t="n"/>
      <c r="C149" s="8" t="n"/>
      <c r="D149" s="19" t="n"/>
      <c r="E149" s="19" t="n"/>
      <c r="F149" s="19" t="n"/>
      <c r="G149" s="34" t="n"/>
      <c r="H149" s="34" t="n"/>
      <c r="I149" s="35" t="n">
        <f>G149+H149</f>
        <v>0</v>
      </c>
      <c r="J149" s="8" t="n"/>
      <c r="K149" s="21" t="str">
        <f>IF(A149="","",TEXT(A149,"YYYY-MM"))</f>
        <v/>
      </c>
    </row>
    <row r="150">
      <c r="A150" s="18" t="n"/>
      <c r="B150" s="8" t="n"/>
      <c r="C150" s="8" t="n"/>
      <c r="D150" s="19" t="n"/>
      <c r="E150" s="19" t="n"/>
      <c r="F150" s="19" t="n"/>
      <c r="G150" s="34" t="n"/>
      <c r="H150" s="34" t="n"/>
      <c r="I150" s="35" t="n">
        <f>G150+H150</f>
        <v>0</v>
      </c>
      <c r="J150" s="8" t="n"/>
      <c r="K150" s="21" t="str">
        <f>IF(A150="","",TEXT(A150,"YYYY-MM"))</f>
        <v/>
      </c>
    </row>
    <row r="151">
      <c r="A151" s="18" t="n"/>
      <c r="B151" s="8" t="n"/>
      <c r="C151" s="8" t="n"/>
      <c r="D151" s="19" t="n"/>
      <c r="E151" s="19" t="n"/>
      <c r="F151" s="19" t="n"/>
      <c r="G151" s="34" t="n"/>
      <c r="H151" s="34" t="n"/>
      <c r="I151" s="35" t="n">
        <f>G151+H151</f>
        <v>0</v>
      </c>
      <c r="J151" s="8" t="n"/>
      <c r="K151" s="21" t="str">
        <f>IF(A151="","",TEXT(A151,"YYYY-MM"))</f>
        <v/>
      </c>
    </row>
    <row r="152">
      <c r="A152" s="18" t="n"/>
      <c r="B152" s="8" t="n"/>
      <c r="C152" s="8" t="n"/>
      <c r="D152" s="19" t="n"/>
      <c r="E152" s="19" t="n"/>
      <c r="F152" s="19" t="n"/>
      <c r="G152" s="34" t="n"/>
      <c r="H152" s="34" t="n"/>
      <c r="I152" s="35" t="n">
        <f>G152+H152</f>
        <v>0</v>
      </c>
      <c r="J152" s="8" t="n"/>
      <c r="K152" s="21" t="str">
        <f>IF(A152="","",TEXT(A152,"YYYY-MM"))</f>
        <v/>
      </c>
    </row>
    <row r="153">
      <c r="A153" s="18" t="n"/>
      <c r="B153" s="8" t="n"/>
      <c r="C153" s="8" t="n"/>
      <c r="D153" s="19" t="n"/>
      <c r="E153" s="19" t="n"/>
      <c r="F153" s="19" t="n"/>
      <c r="G153" s="34" t="n"/>
      <c r="H153" s="34" t="n"/>
      <c r="I153" s="35" t="n">
        <f>G153+H153</f>
        <v>0</v>
      </c>
      <c r="J153" s="8" t="n"/>
      <c r="K153" s="21" t="str">
        <f>IF(A153="","",TEXT(A153,"YYYY-MM"))</f>
        <v/>
      </c>
    </row>
    <row r="154">
      <c r="A154" s="18" t="n"/>
      <c r="B154" s="8" t="n"/>
      <c r="C154" s="8" t="n"/>
      <c r="D154" s="19" t="n"/>
      <c r="E154" s="19" t="n"/>
      <c r="F154" s="19" t="n"/>
      <c r="G154" s="34" t="n"/>
      <c r="H154" s="34" t="n"/>
      <c r="I154" s="35" t="n">
        <f>G154+H154</f>
        <v>0</v>
      </c>
      <c r="J154" s="8" t="n"/>
      <c r="K154" s="21" t="str">
        <f>IF(A154="","",TEXT(A154,"YYYY-MM"))</f>
        <v/>
      </c>
    </row>
    <row r="155">
      <c r="A155" s="18" t="n"/>
      <c r="B155" s="8" t="n"/>
      <c r="C155" s="8" t="n"/>
      <c r="D155" s="19" t="n"/>
      <c r="E155" s="19" t="n"/>
      <c r="F155" s="19" t="n"/>
      <c r="G155" s="34" t="n"/>
      <c r="H155" s="34" t="n"/>
      <c r="I155" s="35" t="n">
        <f>G155+H155</f>
        <v>0</v>
      </c>
      <c r="J155" s="8" t="n"/>
      <c r="K155" s="21" t="str">
        <f>IF(A155="","",TEXT(A155,"YYYY-MM"))</f>
        <v/>
      </c>
    </row>
    <row r="156">
      <c r="A156" s="18" t="n"/>
      <c r="B156" s="8" t="n"/>
      <c r="C156" s="8" t="n"/>
      <c r="D156" s="19" t="n"/>
      <c r="E156" s="19" t="n"/>
      <c r="F156" s="19" t="n"/>
      <c r="G156" s="34" t="n"/>
      <c r="H156" s="34" t="n"/>
      <c r="I156" s="35" t="n">
        <f>G156+H156</f>
        <v>0</v>
      </c>
      <c r="J156" s="8" t="n"/>
      <c r="K156" s="21" t="str">
        <f>IF(A156="","",TEXT(A156,"YYYY-MM"))</f>
        <v/>
      </c>
    </row>
    <row r="157">
      <c r="A157" s="18" t="n"/>
      <c r="B157" s="8" t="n"/>
      <c r="C157" s="8" t="n"/>
      <c r="D157" s="19" t="n"/>
      <c r="E157" s="19" t="n"/>
      <c r="F157" s="19" t="n"/>
      <c r="G157" s="34" t="n"/>
      <c r="H157" s="34" t="n"/>
      <c r="I157" s="35" t="n">
        <f>G157+H157</f>
        <v>0</v>
      </c>
      <c r="J157" s="8" t="n"/>
      <c r="K157" s="21" t="str">
        <f>IF(A157="","",TEXT(A157,"YYYY-MM"))</f>
        <v/>
      </c>
    </row>
    <row r="158">
      <c r="A158" s="18" t="n"/>
      <c r="B158" s="8" t="n"/>
      <c r="C158" s="8" t="n"/>
      <c r="D158" s="19" t="n"/>
      <c r="E158" s="19" t="n"/>
      <c r="F158" s="19" t="n"/>
      <c r="G158" s="34" t="n"/>
      <c r="H158" s="34" t="n"/>
      <c r="I158" s="35" t="n">
        <f>G158+H158</f>
        <v>0</v>
      </c>
      <c r="J158" s="8" t="n"/>
      <c r="K158" s="21" t="str">
        <f>IF(A158="","",TEXT(A158,"YYYY-MM"))</f>
        <v/>
      </c>
    </row>
    <row r="159">
      <c r="A159" s="18" t="n"/>
      <c r="B159" s="8" t="n"/>
      <c r="C159" s="8" t="n"/>
      <c r="D159" s="19" t="n"/>
      <c r="E159" s="19" t="n"/>
      <c r="F159" s="19" t="n"/>
      <c r="G159" s="34" t="n"/>
      <c r="H159" s="34" t="n"/>
      <c r="I159" s="35" t="n">
        <f>G159+H159</f>
        <v>0</v>
      </c>
      <c r="J159" s="8" t="n"/>
      <c r="K159" s="21" t="str">
        <f>IF(A159="","",TEXT(A159,"YYYY-MM"))</f>
        <v/>
      </c>
    </row>
    <row r="160">
      <c r="A160" s="18" t="n"/>
      <c r="B160" s="8" t="n"/>
      <c r="C160" s="8" t="n"/>
      <c r="D160" s="19" t="n"/>
      <c r="E160" s="19" t="n"/>
      <c r="F160" s="19" t="n"/>
      <c r="G160" s="34" t="n"/>
      <c r="H160" s="34" t="n"/>
      <c r="I160" s="35" t="n">
        <f>G160+H160</f>
        <v>0</v>
      </c>
      <c r="J160" s="8" t="n"/>
      <c r="K160" s="21" t="str">
        <f>IF(A160="","",TEXT(A160,"YYYY-MM"))</f>
        <v/>
      </c>
    </row>
    <row r="161">
      <c r="A161" s="18" t="n"/>
      <c r="B161" s="8" t="n"/>
      <c r="C161" s="8" t="n"/>
      <c r="D161" s="19" t="n"/>
      <c r="E161" s="19" t="n"/>
      <c r="F161" s="19" t="n"/>
      <c r="G161" s="34" t="n"/>
      <c r="H161" s="34" t="n"/>
      <c r="I161" s="35" t="n">
        <f>G161+H161</f>
        <v>0</v>
      </c>
      <c r="J161" s="8" t="n"/>
      <c r="K161" s="21" t="str">
        <f>IF(A161="","",TEXT(A161,"YYYY-MM"))</f>
        <v/>
      </c>
    </row>
    <row r="162">
      <c r="A162" s="18" t="n"/>
      <c r="B162" s="8" t="n"/>
      <c r="C162" s="8" t="n"/>
      <c r="D162" s="19" t="n"/>
      <c r="E162" s="19" t="n"/>
      <c r="F162" s="19" t="n"/>
      <c r="G162" s="34" t="n"/>
      <c r="H162" s="34" t="n"/>
      <c r="I162" s="35" t="n">
        <f>G162+H162</f>
        <v>0</v>
      </c>
      <c r="J162" s="8" t="n"/>
      <c r="K162" s="21" t="str">
        <f>IF(A162="","",TEXT(A162,"YYYY-MM"))</f>
        <v/>
      </c>
    </row>
    <row r="163">
      <c r="A163" s="18" t="n"/>
      <c r="B163" s="8" t="n"/>
      <c r="C163" s="8" t="n"/>
      <c r="D163" s="19" t="n"/>
      <c r="E163" s="19" t="n"/>
      <c r="F163" s="19" t="n"/>
      <c r="G163" s="34" t="n"/>
      <c r="H163" s="34" t="n"/>
      <c r="I163" s="35" t="n">
        <f>G163+H163</f>
        <v>0</v>
      </c>
      <c r="J163" s="8" t="n"/>
      <c r="K163" s="21" t="str">
        <f>IF(A163="","",TEXT(A163,"YYYY-MM"))</f>
        <v/>
      </c>
    </row>
    <row r="164">
      <c r="A164" s="18" t="n"/>
      <c r="B164" s="8" t="n"/>
      <c r="C164" s="8" t="n"/>
      <c r="D164" s="19" t="n"/>
      <c r="E164" s="19" t="n"/>
      <c r="F164" s="19" t="n"/>
      <c r="G164" s="34" t="n"/>
      <c r="H164" s="34" t="n"/>
      <c r="I164" s="35" t="n">
        <f>G164+H164</f>
        <v>0</v>
      </c>
      <c r="J164" s="8" t="n"/>
      <c r="K164" s="21" t="str">
        <f>IF(A164="","",TEXT(A164,"YYYY-MM"))</f>
        <v/>
      </c>
    </row>
    <row r="165">
      <c r="A165" s="18" t="n"/>
      <c r="B165" s="8" t="n"/>
      <c r="C165" s="8" t="n"/>
      <c r="D165" s="19" t="n"/>
      <c r="E165" s="19" t="n"/>
      <c r="F165" s="19" t="n"/>
      <c r="G165" s="34" t="n"/>
      <c r="H165" s="34" t="n"/>
      <c r="I165" s="35" t="n">
        <f>G165+H165</f>
        <v>0</v>
      </c>
      <c r="J165" s="8" t="n"/>
      <c r="K165" s="21" t="str">
        <f>IF(A165="","",TEXT(A165,"YYYY-MM"))</f>
        <v/>
      </c>
    </row>
    <row r="166">
      <c r="A166" s="18" t="n"/>
      <c r="B166" s="8" t="n"/>
      <c r="C166" s="8" t="n"/>
      <c r="D166" s="19" t="n"/>
      <c r="E166" s="19" t="n"/>
      <c r="F166" s="19" t="n"/>
      <c r="G166" s="34" t="n"/>
      <c r="H166" s="34" t="n"/>
      <c r="I166" s="35" t="n">
        <f>G166+H166</f>
        <v>0</v>
      </c>
      <c r="J166" s="8" t="n"/>
      <c r="K166" s="21" t="str">
        <f>IF(A166="","",TEXT(A166,"YYYY-MM"))</f>
        <v/>
      </c>
    </row>
    <row r="167">
      <c r="A167" s="18" t="n"/>
      <c r="B167" s="8" t="n"/>
      <c r="C167" s="8" t="n"/>
      <c r="D167" s="19" t="n"/>
      <c r="E167" s="19" t="n"/>
      <c r="F167" s="19" t="n"/>
      <c r="G167" s="34" t="n"/>
      <c r="H167" s="34" t="n"/>
      <c r="I167" s="35" t="n">
        <f>G167+H167</f>
        <v>0</v>
      </c>
      <c r="J167" s="8" t="n"/>
      <c r="K167" s="21" t="str">
        <f>IF(A167="","",TEXT(A167,"YYYY-MM"))</f>
        <v/>
      </c>
    </row>
    <row r="168">
      <c r="A168" s="18" t="n"/>
      <c r="B168" s="8" t="n"/>
      <c r="C168" s="8" t="n"/>
      <c r="D168" s="19" t="n"/>
      <c r="E168" s="19" t="n"/>
      <c r="F168" s="19" t="n"/>
      <c r="G168" s="34" t="n"/>
      <c r="H168" s="34" t="n"/>
      <c r="I168" s="35" t="n">
        <f>G168+H168</f>
        <v>0</v>
      </c>
      <c r="J168" s="8" t="n"/>
      <c r="K168" s="21" t="str">
        <f>IF(A168="","",TEXT(A168,"YYYY-MM"))</f>
        <v/>
      </c>
    </row>
    <row r="169">
      <c r="A169" s="18" t="n"/>
      <c r="B169" s="8" t="n"/>
      <c r="C169" s="8" t="n"/>
      <c r="D169" s="19" t="n"/>
      <c r="E169" s="19" t="n"/>
      <c r="F169" s="19" t="n"/>
      <c r="G169" s="34" t="n"/>
      <c r="H169" s="34" t="n"/>
      <c r="I169" s="35" t="n">
        <f>G169+H169</f>
        <v>0</v>
      </c>
      <c r="J169" s="8" t="n"/>
      <c r="K169" s="21" t="str">
        <f>IF(A169="","",TEXT(A169,"YYYY-MM"))</f>
        <v/>
      </c>
    </row>
    <row r="170">
      <c r="A170" s="18" t="n"/>
      <c r="B170" s="8" t="n"/>
      <c r="C170" s="8" t="n"/>
      <c r="D170" s="19" t="n"/>
      <c r="E170" s="19" t="n"/>
      <c r="F170" s="19" t="n"/>
      <c r="G170" s="34" t="n"/>
      <c r="H170" s="34" t="n"/>
      <c r="I170" s="35" t="n">
        <f>G170+H170</f>
        <v>0</v>
      </c>
      <c r="J170" s="8" t="n"/>
      <c r="K170" s="21" t="str">
        <f>IF(A170="","",TEXT(A170,"YYYY-MM"))</f>
        <v/>
      </c>
    </row>
    <row r="171">
      <c r="A171" s="18" t="n"/>
      <c r="B171" s="8" t="n"/>
      <c r="C171" s="8" t="n"/>
      <c r="D171" s="19" t="n"/>
      <c r="E171" s="19" t="n"/>
      <c r="F171" s="19" t="n"/>
      <c r="G171" s="34" t="n"/>
      <c r="H171" s="34" t="n"/>
      <c r="I171" s="35" t="n">
        <f>G171+H171</f>
        <v>0</v>
      </c>
      <c r="J171" s="8" t="n"/>
      <c r="K171" s="21" t="str">
        <f>IF(A171="","",TEXT(A171,"YYYY-MM"))</f>
        <v/>
      </c>
    </row>
    <row r="172">
      <c r="A172" s="18" t="n"/>
      <c r="B172" s="8" t="n"/>
      <c r="C172" s="8" t="n"/>
      <c r="D172" s="19" t="n"/>
      <c r="E172" s="19" t="n"/>
      <c r="F172" s="19" t="n"/>
      <c r="G172" s="34" t="n"/>
      <c r="H172" s="34" t="n"/>
      <c r="I172" s="35" t="n">
        <f>G172+H172</f>
        <v>0</v>
      </c>
      <c r="J172" s="8" t="n"/>
      <c r="K172" s="21" t="str">
        <f>IF(A172="","",TEXT(A172,"YYYY-MM"))</f>
        <v/>
      </c>
    </row>
    <row r="173">
      <c r="A173" s="18" t="n"/>
      <c r="B173" s="8" t="n"/>
      <c r="C173" s="8" t="n"/>
      <c r="D173" s="19" t="n"/>
      <c r="E173" s="19" t="n"/>
      <c r="F173" s="19" t="n"/>
      <c r="G173" s="34" t="n"/>
      <c r="H173" s="34" t="n"/>
      <c r="I173" s="35" t="n">
        <f>G173+H173</f>
        <v>0</v>
      </c>
      <c r="J173" s="8" t="n"/>
      <c r="K173" s="21" t="str">
        <f>IF(A173="","",TEXT(A173,"YYYY-MM"))</f>
        <v/>
      </c>
    </row>
    <row r="174">
      <c r="A174" s="18" t="n"/>
      <c r="B174" s="8" t="n"/>
      <c r="C174" s="8" t="n"/>
      <c r="D174" s="19" t="n"/>
      <c r="E174" s="19" t="n"/>
      <c r="F174" s="19" t="n"/>
      <c r="G174" s="34" t="n"/>
      <c r="H174" s="34" t="n"/>
      <c r="I174" s="35" t="n">
        <f>G174+H174</f>
        <v>0</v>
      </c>
      <c r="J174" s="8" t="n"/>
      <c r="K174" s="21" t="str">
        <f>IF(A174="","",TEXT(A174,"YYYY-MM"))</f>
        <v/>
      </c>
    </row>
    <row r="175">
      <c r="A175" s="18" t="n"/>
      <c r="B175" s="8" t="n"/>
      <c r="C175" s="8" t="n"/>
      <c r="D175" s="19" t="n"/>
      <c r="E175" s="19" t="n"/>
      <c r="F175" s="19" t="n"/>
      <c r="G175" s="34" t="n"/>
      <c r="H175" s="34" t="n"/>
      <c r="I175" s="35" t="n">
        <f>G175+H175</f>
        <v>0</v>
      </c>
      <c r="J175" s="8" t="n"/>
      <c r="K175" s="21" t="str">
        <f>IF(A175="","",TEXT(A175,"YYYY-MM"))</f>
        <v/>
      </c>
    </row>
    <row r="176">
      <c r="A176" s="18" t="n"/>
      <c r="B176" s="8" t="n"/>
      <c r="C176" s="8" t="n"/>
      <c r="D176" s="19" t="n"/>
      <c r="E176" s="19" t="n"/>
      <c r="F176" s="19" t="n"/>
      <c r="G176" s="34" t="n"/>
      <c r="H176" s="34" t="n"/>
      <c r="I176" s="35" t="n">
        <f>G176+H176</f>
        <v>0</v>
      </c>
      <c r="J176" s="8" t="n"/>
      <c r="K176" s="21" t="str">
        <f>IF(A176="","",TEXT(A176,"YYYY-MM"))</f>
        <v/>
      </c>
    </row>
    <row r="177">
      <c r="A177" s="18" t="n"/>
      <c r="B177" s="8" t="n"/>
      <c r="C177" s="8" t="n"/>
      <c r="D177" s="19" t="n"/>
      <c r="E177" s="19" t="n"/>
      <c r="F177" s="19" t="n"/>
      <c r="G177" s="34" t="n"/>
      <c r="H177" s="34" t="n"/>
      <c r="I177" s="35" t="n">
        <f>G177+H177</f>
        <v>0</v>
      </c>
      <c r="J177" s="8" t="n"/>
      <c r="K177" s="21" t="str">
        <f>IF(A177="","",TEXT(A177,"YYYY-MM"))</f>
        <v/>
      </c>
    </row>
    <row r="178">
      <c r="A178" s="18" t="n"/>
      <c r="B178" s="8" t="n"/>
      <c r="C178" s="8" t="n"/>
      <c r="D178" s="19" t="n"/>
      <c r="E178" s="19" t="n"/>
      <c r="F178" s="19" t="n"/>
      <c r="G178" s="34" t="n"/>
      <c r="H178" s="34" t="n"/>
      <c r="I178" s="35" t="n">
        <f>G178+H178</f>
        <v>0</v>
      </c>
      <c r="J178" s="8" t="n"/>
      <c r="K178" s="21" t="str">
        <f>IF(A178="","",TEXT(A178,"YYYY-MM"))</f>
        <v/>
      </c>
    </row>
    <row r="179">
      <c r="A179" s="18" t="n"/>
      <c r="B179" s="8" t="n"/>
      <c r="C179" s="8" t="n"/>
      <c r="D179" s="19" t="n"/>
      <c r="E179" s="19" t="n"/>
      <c r="F179" s="19" t="n"/>
      <c r="G179" s="34" t="n"/>
      <c r="H179" s="34" t="n"/>
      <c r="I179" s="35" t="n">
        <f>G179+H179</f>
        <v>0</v>
      </c>
      <c r="J179" s="8" t="n"/>
      <c r="K179" s="21" t="str">
        <f>IF(A179="","",TEXT(A179,"YYYY-MM"))</f>
        <v/>
      </c>
    </row>
    <row r="180">
      <c r="A180" s="18" t="n"/>
      <c r="B180" s="8" t="n"/>
      <c r="C180" s="8" t="n"/>
      <c r="D180" s="19" t="n"/>
      <c r="E180" s="19" t="n"/>
      <c r="F180" s="19" t="n"/>
      <c r="G180" s="34" t="n"/>
      <c r="H180" s="34" t="n"/>
      <c r="I180" s="35" t="n">
        <f>G180+H180</f>
        <v>0</v>
      </c>
      <c r="J180" s="8" t="n"/>
      <c r="K180" s="21" t="str">
        <f>IF(A180="","",TEXT(A180,"YYYY-MM"))</f>
        <v/>
      </c>
    </row>
    <row r="181">
      <c r="A181" s="18" t="n"/>
      <c r="B181" s="8" t="n"/>
      <c r="C181" s="8" t="n"/>
      <c r="D181" s="19" t="n"/>
      <c r="E181" s="19" t="n"/>
      <c r="F181" s="19" t="n"/>
      <c r="G181" s="34" t="n"/>
      <c r="H181" s="34" t="n"/>
      <c r="I181" s="35" t="n">
        <f>G181+H181</f>
        <v>0</v>
      </c>
      <c r="J181" s="8" t="n"/>
      <c r="K181" s="21" t="str">
        <f>IF(A181="","",TEXT(A181,"YYYY-MM"))</f>
        <v/>
      </c>
    </row>
    <row r="182">
      <c r="A182" s="18" t="n"/>
      <c r="B182" s="8" t="n"/>
      <c r="C182" s="8" t="n"/>
      <c r="D182" s="19" t="n"/>
      <c r="E182" s="19" t="n"/>
      <c r="F182" s="19" t="n"/>
      <c r="G182" s="34" t="n"/>
      <c r="H182" s="34" t="n"/>
      <c r="I182" s="35" t="n">
        <f>G182+H182</f>
        <v>0</v>
      </c>
      <c r="J182" s="8" t="n"/>
      <c r="K182" s="21" t="str">
        <f>IF(A182="","",TEXT(A182,"YYYY-MM"))</f>
        <v/>
      </c>
    </row>
    <row r="183">
      <c r="A183" s="18" t="n"/>
      <c r="B183" s="8" t="n"/>
      <c r="C183" s="8" t="n"/>
      <c r="D183" s="19" t="n"/>
      <c r="E183" s="19" t="n"/>
      <c r="F183" s="19" t="n"/>
      <c r="G183" s="34" t="n"/>
      <c r="H183" s="34" t="n"/>
      <c r="I183" s="35" t="n">
        <f>G183+H183</f>
        <v>0</v>
      </c>
      <c r="J183" s="8" t="n"/>
      <c r="K183" s="21" t="str">
        <f>IF(A183="","",TEXT(A183,"YYYY-MM"))</f>
        <v/>
      </c>
    </row>
    <row r="184">
      <c r="A184" s="18" t="n"/>
      <c r="B184" s="8" t="n"/>
      <c r="C184" s="8" t="n"/>
      <c r="D184" s="19" t="n"/>
      <c r="E184" s="19" t="n"/>
      <c r="F184" s="19" t="n"/>
      <c r="G184" s="34" t="n"/>
      <c r="H184" s="34" t="n"/>
      <c r="I184" s="35" t="n">
        <f>G184+H184</f>
        <v>0</v>
      </c>
      <c r="J184" s="8" t="n"/>
      <c r="K184" s="21" t="str">
        <f>IF(A184="","",TEXT(A184,"YYYY-MM"))</f>
        <v/>
      </c>
    </row>
    <row r="185">
      <c r="A185" s="18" t="n"/>
      <c r="B185" s="8" t="n"/>
      <c r="C185" s="8" t="n"/>
      <c r="D185" s="19" t="n"/>
      <c r="E185" s="19" t="n"/>
      <c r="F185" s="19" t="n"/>
      <c r="G185" s="34" t="n"/>
      <c r="H185" s="34" t="n"/>
      <c r="I185" s="35" t="n">
        <f>G185+H185</f>
        <v>0</v>
      </c>
      <c r="J185" s="8" t="n"/>
      <c r="K185" s="21" t="str">
        <f>IF(A185="","",TEXT(A185,"YYYY-MM"))</f>
        <v/>
      </c>
    </row>
    <row r="186">
      <c r="A186" s="18" t="n"/>
      <c r="B186" s="8" t="n"/>
      <c r="C186" s="8" t="n"/>
      <c r="D186" s="19" t="n"/>
      <c r="E186" s="19" t="n"/>
      <c r="F186" s="19" t="n"/>
      <c r="G186" s="34" t="n"/>
      <c r="H186" s="34" t="n"/>
      <c r="I186" s="35" t="n">
        <f>G186+H186</f>
        <v>0</v>
      </c>
      <c r="J186" s="8" t="n"/>
      <c r="K186" s="21" t="str">
        <f>IF(A186="","",TEXT(A186,"YYYY-MM"))</f>
        <v/>
      </c>
    </row>
    <row r="187">
      <c r="A187" s="18" t="n"/>
      <c r="B187" s="8" t="n"/>
      <c r="C187" s="8" t="n"/>
      <c r="D187" s="19" t="n"/>
      <c r="E187" s="19" t="n"/>
      <c r="F187" s="19" t="n"/>
      <c r="G187" s="34" t="n"/>
      <c r="H187" s="34" t="n"/>
      <c r="I187" s="35" t="n">
        <f>G187+H187</f>
        <v>0</v>
      </c>
      <c r="J187" s="8" t="n"/>
      <c r="K187" s="21" t="str">
        <f>IF(A187="","",TEXT(A187,"YYYY-MM"))</f>
        <v/>
      </c>
    </row>
    <row r="188">
      <c r="A188" s="18" t="n"/>
      <c r="B188" s="8" t="n"/>
      <c r="C188" s="8" t="n"/>
      <c r="D188" s="19" t="n"/>
      <c r="E188" s="19" t="n"/>
      <c r="F188" s="19" t="n"/>
      <c r="G188" s="34" t="n"/>
      <c r="H188" s="34" t="n"/>
      <c r="I188" s="35" t="n">
        <f>G188+H188</f>
        <v>0</v>
      </c>
      <c r="J188" s="8" t="n"/>
      <c r="K188" s="21" t="str">
        <f>IF(A188="","",TEXT(A188,"YYYY-MM"))</f>
        <v/>
      </c>
    </row>
    <row r="189">
      <c r="A189" s="18" t="n"/>
      <c r="B189" s="8" t="n"/>
      <c r="C189" s="8" t="n"/>
      <c r="D189" s="19" t="n"/>
      <c r="E189" s="19" t="n"/>
      <c r="F189" s="19" t="n"/>
      <c r="G189" s="34" t="n"/>
      <c r="H189" s="34" t="n"/>
      <c r="I189" s="35" t="n">
        <f>G189+H189</f>
        <v>0</v>
      </c>
      <c r="J189" s="8" t="n"/>
      <c r="K189" s="21" t="str">
        <f>IF(A189="","",TEXT(A189,"YYYY-MM"))</f>
        <v/>
      </c>
    </row>
    <row r="190">
      <c r="A190" s="18" t="n"/>
      <c r="B190" s="8" t="n"/>
      <c r="C190" s="8" t="n"/>
      <c r="D190" s="19" t="n"/>
      <c r="E190" s="19" t="n"/>
      <c r="F190" s="19" t="n"/>
      <c r="G190" s="34" t="n"/>
      <c r="H190" s="34" t="n"/>
      <c r="I190" s="35" t="n">
        <f>G190+H190</f>
        <v>0</v>
      </c>
      <c r="J190" s="8" t="n"/>
      <c r="K190" s="21" t="str">
        <f>IF(A190="","",TEXT(A190,"YYYY-MM"))</f>
        <v/>
      </c>
    </row>
    <row r="191">
      <c r="A191" s="18" t="n"/>
      <c r="B191" s="8" t="n"/>
      <c r="C191" s="8" t="n"/>
      <c r="D191" s="19" t="n"/>
      <c r="E191" s="19" t="n"/>
      <c r="F191" s="19" t="n"/>
      <c r="G191" s="34" t="n"/>
      <c r="H191" s="34" t="n"/>
      <c r="I191" s="35" t="n">
        <f>G191+H191</f>
        <v>0</v>
      </c>
      <c r="J191" s="8" t="n"/>
      <c r="K191" s="21" t="str">
        <f>IF(A191="","",TEXT(A191,"YYYY-MM"))</f>
        <v/>
      </c>
    </row>
    <row r="192">
      <c r="A192" s="18" t="n"/>
      <c r="B192" s="8" t="n"/>
      <c r="C192" s="8" t="n"/>
      <c r="D192" s="19" t="n"/>
      <c r="E192" s="19" t="n"/>
      <c r="F192" s="19" t="n"/>
      <c r="G192" s="34" t="n"/>
      <c r="H192" s="34" t="n"/>
      <c r="I192" s="35" t="n">
        <f>G192+H192</f>
        <v>0</v>
      </c>
      <c r="J192" s="8" t="n"/>
      <c r="K192" s="21" t="str">
        <f>IF(A192="","",TEXT(A192,"YYYY-MM"))</f>
        <v/>
      </c>
    </row>
    <row r="193">
      <c r="A193" s="18" t="n"/>
      <c r="B193" s="8" t="n"/>
      <c r="C193" s="8" t="n"/>
      <c r="D193" s="19" t="n"/>
      <c r="E193" s="19" t="n"/>
      <c r="F193" s="19" t="n"/>
      <c r="G193" s="34" t="n"/>
      <c r="H193" s="34" t="n"/>
      <c r="I193" s="35" t="n">
        <f>G193+H193</f>
        <v>0</v>
      </c>
      <c r="J193" s="8" t="n"/>
      <c r="K193" s="21" t="str">
        <f>IF(A193="","",TEXT(A193,"YYYY-MM"))</f>
        <v/>
      </c>
    </row>
    <row r="194">
      <c r="A194" s="18" t="n"/>
      <c r="B194" s="8" t="n"/>
      <c r="C194" s="8" t="n"/>
      <c r="D194" s="19" t="n"/>
      <c r="E194" s="19" t="n"/>
      <c r="F194" s="19" t="n"/>
      <c r="G194" s="34" t="n"/>
      <c r="H194" s="34" t="n"/>
      <c r="I194" s="35" t="n">
        <f>G194+H194</f>
        <v>0</v>
      </c>
      <c r="J194" s="8" t="n"/>
      <c r="K194" s="21" t="str">
        <f>IF(A194="","",TEXT(A194,"YYYY-MM"))</f>
        <v/>
      </c>
    </row>
    <row r="195">
      <c r="A195" s="18" t="n"/>
      <c r="B195" s="8" t="n"/>
      <c r="C195" s="8" t="n"/>
      <c r="D195" s="19" t="n"/>
      <c r="E195" s="19" t="n"/>
      <c r="F195" s="19" t="n"/>
      <c r="G195" s="34" t="n"/>
      <c r="H195" s="34" t="n"/>
      <c r="I195" s="35" t="n">
        <f>G195+H195</f>
        <v>0</v>
      </c>
      <c r="J195" s="8" t="n"/>
      <c r="K195" s="21" t="str">
        <f>IF(A195="","",TEXT(A195,"YYYY-MM"))</f>
        <v/>
      </c>
    </row>
    <row r="196">
      <c r="A196" s="18" t="n"/>
      <c r="B196" s="8" t="n"/>
      <c r="C196" s="8" t="n"/>
      <c r="D196" s="19" t="n"/>
      <c r="E196" s="19" t="n"/>
      <c r="F196" s="19" t="n"/>
      <c r="G196" s="34" t="n"/>
      <c r="H196" s="34" t="n"/>
      <c r="I196" s="35" t="n">
        <f>G196+H196</f>
        <v>0</v>
      </c>
      <c r="J196" s="8" t="n"/>
      <c r="K196" s="21" t="str">
        <f>IF(A196="","",TEXT(A196,"YYYY-MM"))</f>
        <v/>
      </c>
    </row>
    <row r="197">
      <c r="A197" s="18" t="n"/>
      <c r="B197" s="8" t="n"/>
      <c r="C197" s="8" t="n"/>
      <c r="D197" s="19" t="n"/>
      <c r="E197" s="19" t="n"/>
      <c r="F197" s="19" t="n"/>
      <c r="G197" s="34" t="n"/>
      <c r="H197" s="34" t="n"/>
      <c r="I197" s="35" t="n">
        <f>G197+H197</f>
        <v>0</v>
      </c>
      <c r="J197" s="8" t="n"/>
      <c r="K197" s="21" t="str">
        <f>IF(A197="","",TEXT(A197,"YYYY-MM"))</f>
        <v/>
      </c>
    </row>
    <row r="198">
      <c r="A198" s="18" t="n"/>
      <c r="B198" s="8" t="n"/>
      <c r="C198" s="8" t="n"/>
      <c r="D198" s="19" t="n"/>
      <c r="E198" s="19" t="n"/>
      <c r="F198" s="19" t="n"/>
      <c r="G198" s="34" t="n"/>
      <c r="H198" s="34" t="n"/>
      <c r="I198" s="35" t="n">
        <f>G198+H198</f>
        <v>0</v>
      </c>
      <c r="J198" s="8" t="n"/>
      <c r="K198" s="21" t="str">
        <f>IF(A198="","",TEXT(A198,"YYYY-MM"))</f>
        <v/>
      </c>
    </row>
    <row r="199">
      <c r="A199" s="18" t="n"/>
      <c r="B199" s="8" t="n"/>
      <c r="C199" s="8" t="n"/>
      <c r="D199" s="19" t="n"/>
      <c r="E199" s="19" t="n"/>
      <c r="F199" s="19" t="n"/>
      <c r="G199" s="34" t="n"/>
      <c r="H199" s="34" t="n"/>
      <c r="I199" s="35" t="n">
        <f>G199+H199</f>
        <v>0</v>
      </c>
      <c r="J199" s="8" t="n"/>
      <c r="K199" s="21" t="str">
        <f>IF(A199="","",TEXT(A199,"YYYY-MM"))</f>
        <v/>
      </c>
    </row>
    <row r="200">
      <c r="A200" s="18" t="n"/>
      <c r="B200" s="8" t="n"/>
      <c r="C200" s="8" t="n"/>
      <c r="D200" s="19" t="n"/>
      <c r="E200" s="19" t="n"/>
      <c r="F200" s="19" t="n"/>
      <c r="G200" s="34" t="n"/>
      <c r="H200" s="34" t="n"/>
      <c r="I200" s="35" t="n">
        <f>G200+H200</f>
        <v>0</v>
      </c>
      <c r="J200" s="8" t="n"/>
      <c r="K200" s="21" t="str">
        <f>IF(A200="","",TEXT(A200,"YYYY-MM"))</f>
        <v/>
      </c>
    </row>
    <row r="201">
      <c r="A201" s="18" t="n"/>
      <c r="B201" s="8" t="n"/>
      <c r="C201" s="8" t="n"/>
      <c r="D201" s="19" t="n"/>
      <c r="E201" s="19" t="n"/>
      <c r="F201" s="19" t="n"/>
      <c r="G201" s="34" t="n"/>
      <c r="H201" s="34" t="n"/>
      <c r="I201" s="35" t="n">
        <f>G201+H201</f>
        <v>0</v>
      </c>
      <c r="J201" s="8" t="n"/>
      <c r="K201" s="21" t="str">
        <f>IF(A201="","",TEXT(A201,"YYYY-MM"))</f>
        <v/>
      </c>
    </row>
    <row r="202">
      <c r="A202" s="18" t="n"/>
      <c r="B202" s="8" t="n"/>
      <c r="C202" s="8" t="n"/>
      <c r="D202" s="19" t="n"/>
      <c r="E202" s="19" t="n"/>
      <c r="F202" s="19" t="n"/>
      <c r="G202" s="34" t="n"/>
      <c r="H202" s="34" t="n"/>
      <c r="I202" s="35" t="n">
        <f>G202+H202</f>
        <v>0</v>
      </c>
      <c r="J202" s="8" t="n"/>
      <c r="K202" s="21" t="str">
        <f>IF(A202="","",TEXT(A202,"YYYY-MM"))</f>
        <v/>
      </c>
    </row>
    <row r="203">
      <c r="A203" s="18" t="n"/>
      <c r="B203" s="8" t="n"/>
      <c r="C203" s="8" t="n"/>
      <c r="D203" s="19" t="n"/>
      <c r="E203" s="19" t="n"/>
      <c r="F203" s="19" t="n"/>
      <c r="G203" s="34" t="n"/>
      <c r="H203" s="34" t="n"/>
      <c r="I203" s="35" t="n">
        <f>G203+H203</f>
        <v>0</v>
      </c>
      <c r="J203" s="8" t="n"/>
      <c r="K203" s="21" t="str">
        <f>IF(A203="","",TEXT(A203,"YYYY-MM"))</f>
        <v/>
      </c>
    </row>
    <row r="204">
      <c r="A204" s="18" t="n"/>
      <c r="B204" s="8" t="n"/>
      <c r="C204" s="8" t="n"/>
      <c r="D204" s="19" t="n"/>
      <c r="E204" s="19" t="n"/>
      <c r="F204" s="19" t="n"/>
      <c r="G204" s="34" t="n"/>
      <c r="H204" s="34" t="n"/>
      <c r="I204" s="35" t="n">
        <f>G204+H204</f>
        <v>0</v>
      </c>
      <c r="J204" s="8" t="n"/>
      <c r="K204" s="21" t="str">
        <f>IF(A204="","",TEXT(A204,"YYYY-MM"))</f>
        <v/>
      </c>
    </row>
    <row r="205">
      <c r="A205" s="18" t="n"/>
      <c r="B205" s="8" t="n"/>
      <c r="C205" s="8" t="n"/>
      <c r="D205" s="19" t="n"/>
      <c r="E205" s="19" t="n"/>
      <c r="F205" s="19" t="n"/>
      <c r="G205" s="34" t="n"/>
      <c r="H205" s="34" t="n"/>
      <c r="I205" s="35" t="n">
        <f>G205+H205</f>
        <v>0</v>
      </c>
      <c r="J205" s="8" t="n"/>
      <c r="K205" s="21" t="str">
        <f>IF(A205="","",TEXT(A205,"YYYY-MM"))</f>
        <v/>
      </c>
    </row>
    <row r="206">
      <c r="A206" s="18" t="n"/>
      <c r="B206" s="8" t="n"/>
      <c r="C206" s="8" t="n"/>
      <c r="D206" s="19" t="n"/>
      <c r="E206" s="19" t="n"/>
      <c r="F206" s="19" t="n"/>
      <c r="G206" s="34" t="n"/>
      <c r="H206" s="34" t="n"/>
      <c r="I206" s="35" t="n">
        <f>G206+H206</f>
        <v>0</v>
      </c>
      <c r="J206" s="8" t="n"/>
      <c r="K206" s="21" t="str">
        <f>IF(A206="","",TEXT(A206,"YYYY-MM"))</f>
        <v/>
      </c>
    </row>
    <row r="207">
      <c r="A207" s="11" t="inlineStr">
        <is>
          <t>TOTALS</t>
        </is>
      </c>
      <c r="G207" s="36" t="n">
        <f>SUM(G5:G206)</f>
        <v>40.5</v>
      </c>
      <c r="H207" s="36" t="n">
        <f>SUM(H5:H206)</f>
        <v>0</v>
      </c>
      <c r="I207" s="36" t="n">
        <f>SUM(I5:I206)</f>
        <v>40.5</v>
      </c>
    </row>
  </sheetData>
  <autoFilter ref="A4:K206"/>
  <mergeCells count="2">
    <mergeCell ref="A1:J1"/>
    <mergeCell ref="A2:J2"/>
  </mergeCells>
  <dataValidations count="1">
    <dataValidation sqref="J5:J206" showDropDown="0" showInputMessage="0" showErrorMessage="0" allowBlank="1" type="list">
      <formula1>"MileIQ,Manual"</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F18"/>
  <sheetViews>
    <sheetView workbookViewId="0">
      <pane ySplit="4" topLeftCell="A5" activePane="bottomLeft" state="frozen"/>
      <selection pane="bottomLeft" activeCell="A1" sqref="A1"/>
    </sheetView>
  </sheetViews>
  <sheetFormatPr baseColWidth="8" defaultRowHeight="15"/>
  <cols>
    <col width="36" customWidth="1" min="1" max="1"/>
    <col width="20" customWidth="1" min="2" max="2"/>
    <col width="20" customWidth="1" min="3" max="3"/>
    <col width="36" customWidth="1" min="4" max="4"/>
    <col width="20" customWidth="1" min="5" max="5"/>
    <col width="20" customWidth="1" min="6" max="6"/>
  </cols>
  <sheetData>
    <row r="1" ht="28" customHeight="1">
      <c r="A1" s="1" t="inlineStr">
        <is>
          <t>MILEAGE SUMMARY — what the deduction is actually worth (no typing)</t>
        </is>
      </c>
    </row>
    <row r="2" ht="30" customHeight="1">
      <c r="A2" s="2" t="inlineStr">
        <is>
          <t>Standard mileage already includes gas, insurance, repairs and depreciation — you cannot deduct those again separately for the same miles. Parking and tolls for business trips may be added on top; keep receipts.</t>
        </is>
      </c>
    </row>
    <row r="4">
      <c r="A4" s="6" t="inlineStr">
        <is>
          <t>Measure</t>
        </is>
      </c>
      <c r="B4" s="6" t="inlineStr">
        <is>
          <t>Amount</t>
        </is>
      </c>
      <c r="C4" s="6" t="inlineStr">
        <is>
          <t>How it is figured</t>
        </is>
      </c>
    </row>
    <row r="5" ht="30" customHeight="1">
      <c r="A5" s="24" t="inlineStr">
        <is>
          <t>Total business miles (year)</t>
        </is>
      </c>
      <c r="B5" s="25" t="n">
        <f>SUM('MILEAGE LOG'!G5:G206)</f>
        <v>40.5</v>
      </c>
      <c r="C5" s="9" t="inlineStr">
        <is>
          <t>Sum of Business Miles in the Mileage Log</t>
        </is>
      </c>
    </row>
    <row r="6" ht="30" customHeight="1">
      <c r="A6" s="24" t="inlineStr">
        <is>
          <t>Total personal / commute miles (year)</t>
        </is>
      </c>
      <c r="B6" s="25" t="n">
        <f>SUM('MILEAGE LOG'!H5:H206)</f>
        <v>0</v>
      </c>
      <c r="C6" s="9" t="inlineStr">
        <is>
          <t>Needed to prove business-use % for the Actual-Expense method</t>
        </is>
      </c>
    </row>
    <row r="7" ht="30" customHeight="1">
      <c r="A7" s="24" t="inlineStr">
        <is>
          <t>Total miles (year)</t>
        </is>
      </c>
      <c r="B7" s="25" t="n">
        <f>B5+B6</f>
        <v>40.5</v>
      </c>
      <c r="C7" s="9" t="inlineStr">
        <is>
          <t>Cross-check against Jan 1 / Dec 31 odometer photos — take both, every year</t>
        </is>
      </c>
    </row>
    <row r="8" ht="30" customHeight="1">
      <c r="A8" s="24" t="inlineStr">
        <is>
          <t>Business-use %</t>
        </is>
      </c>
      <c r="B8" s="37" t="n">
        <f>IF(B7=0,0,B5/B7)</f>
        <v>1</v>
      </c>
      <c r="C8" s="9" t="inlineStr">
        <is>
          <t>Actual vehicle costs are deductible only at this %</t>
        </is>
      </c>
    </row>
    <row r="9" ht="30" customHeight="1">
      <c r="A9" s="24" t="inlineStr">
        <is>
          <t>IRS rate used ($/mile)</t>
        </is>
      </c>
      <c r="B9" s="38" t="n">
        <f>'SETUP &amp; INPUTS'!B10</f>
        <v>0.725</v>
      </c>
      <c r="C9" s="9" t="inlineStr">
        <is>
          <t>From SETUP. 2026: $0.725; 2025: $0.70</t>
        </is>
      </c>
    </row>
    <row r="10" ht="30" customHeight="1">
      <c r="A10" s="24" t="inlineStr">
        <is>
          <t>STANDARD MILEAGE DEDUCTION</t>
        </is>
      </c>
      <c r="B10" s="39" t="n">
        <f>B5*B9</f>
        <v>29.3625</v>
      </c>
      <c r="C10" s="9" t="inlineStr">
        <is>
          <t>Business miles x rate. This is most small landlords' best answer — no receipts for gas/repairs needed, but the mileage log itself is mandatory</t>
        </is>
      </c>
    </row>
    <row r="11" ht="30" customHeight="1">
      <c r="A11" s="24" t="inlineStr">
        <is>
          <t>Business miles — Brandy</t>
        </is>
      </c>
      <c r="B11" s="25" t="n">
        <f>SUMIFS('MILEAGE LOG'!G:G,'MILEAGE LOG'!B:B,'SETUP &amp; INPUTS'!B6)</f>
        <v>40.5</v>
      </c>
      <c r="C11" s="9" t="inlineStr">
        <is>
          <t>By driver, from the log</t>
        </is>
      </c>
    </row>
    <row r="12" ht="30" customHeight="1">
      <c r="A12" s="24" t="inlineStr">
        <is>
          <t>Business miles — Jason</t>
        </is>
      </c>
      <c r="B12" s="25" t="n">
        <f>SUMIFS('MILEAGE LOG'!G:G,'MILEAGE LOG'!B:B,'SETUP &amp; INPUTS'!B7)</f>
        <v>0</v>
      </c>
      <c r="C12" s="9" t="inlineStr">
        <is>
          <t>By driver, from the log</t>
        </is>
      </c>
    </row>
    <row r="14">
      <c r="A14" s="32" t="inlineStr">
        <is>
          <t>MILEAGE TIPS THAT MOVE THE NUMBER:  1) The drive from home counts when your home office is your principal place of business — another reason the home-office setup matters. Without it, the first trip of the day risks being a non-deductible commute.  2) Bank, supply-store, CPA and courthouse runs for the rental business count — log the purpose specifically.  3) One odometer photo on Jan 1 and one on Dec 31 proves total miles; business % collapses without it.  4) MileIQ classifies drives — swipe within the week; a year of unclassified drives at tax time reads as reconstruction.  5) Never deduct the same cost twice: standard mileage OR actual expenses per vehicle per year (see Home Office &amp; Vehicle sheet).  6) Trips to look at a property you did not buy can still be business travel if you are already in the rental business — write down what you evaluated and why you passed.</t>
        </is>
      </c>
    </row>
    <row r="15"/>
    <row r="16"/>
    <row r="17"/>
    <row r="18"/>
  </sheetData>
  <mergeCells count="11">
    <mergeCell ref="A2:F2"/>
    <mergeCell ref="C9:F9"/>
    <mergeCell ref="A14:F18"/>
    <mergeCell ref="C8:F8"/>
    <mergeCell ref="A1:F1"/>
    <mergeCell ref="C12:F12"/>
    <mergeCell ref="C6:F6"/>
    <mergeCell ref="C7:F7"/>
    <mergeCell ref="C11:F11"/>
    <mergeCell ref="C10:F10"/>
    <mergeCell ref="C5:F5"/>
  </mergeCell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F41"/>
  <sheetViews>
    <sheetView workbookViewId="0">
      <pane ySplit="3" topLeftCell="A4" activePane="bottomLeft" state="frozen"/>
      <selection pane="bottomLeft" activeCell="A1" sqref="A1"/>
    </sheetView>
  </sheetViews>
  <sheetFormatPr baseColWidth="8" defaultRowHeight="15"/>
  <cols>
    <col width="40" customWidth="1" min="1" max="1"/>
    <col width="18" customWidth="1" min="2" max="2"/>
    <col width="18" customWidth="1" min="3" max="3"/>
    <col width="40" customWidth="1" min="4" max="4"/>
    <col width="18" customWidth="1" min="5" max="5"/>
    <col width="18" customWidth="1" min="6" max="6"/>
  </cols>
  <sheetData>
    <row r="1" ht="28" customHeight="1">
      <c r="A1" s="1" t="inlineStr">
        <is>
          <t>HOME OFFICE &amp; VEHICLE CALCULATOR — pick one method each, then stay consistent</t>
        </is>
      </c>
    </row>
    <row r="2" ht="30" customHeight="1">
      <c r="A2" s="2" t="inlineStr">
        <is>
          <t>Yellow = your bills for the year. The sheet does both methods so you can see which wins before you commit on the return.</t>
        </is>
      </c>
    </row>
    <row r="4">
      <c r="A4" s="23" t="inlineStr">
        <is>
          <t>HOME OFFICE — the space must be used EXCLUSIVELY and REGULARLY as the principal place of the rental business (IRS Pub. 587)</t>
        </is>
      </c>
    </row>
    <row r="5">
      <c r="A5" s="40" t="inlineStr">
        <is>
          <t>Home (sq ft)</t>
        </is>
      </c>
      <c r="B5" s="41" t="n">
        <f>'SETUP &amp; INPUTS'!B11</f>
        <v>2000</v>
      </c>
      <c r="C5" s="32" t="inlineStr">
        <is>
          <t>Simplified: $5/sq ft up to 300 sq ft = $1,500 max. No expense records, no depreciation, no recapture on that space later. Actual (below) usually wins when the office % x total house bills exceeds $1,500. You may switch methods year to year — the election is annual.</t>
        </is>
      </c>
    </row>
    <row r="6">
      <c r="A6" s="40" t="inlineStr">
        <is>
          <t>Office (sq ft) — exclusive</t>
        </is>
      </c>
      <c r="B6" s="41" t="n">
        <f>'SETUP &amp; INPUTS'!B12</f>
        <v>150</v>
      </c>
    </row>
    <row r="7">
      <c r="A7" s="42" t="inlineStr">
        <is>
          <t>Business % of home</t>
        </is>
      </c>
      <c r="B7" s="37" t="n">
        <f>IF(B5=0,0,B6/B5)</f>
        <v>0.075</v>
      </c>
    </row>
    <row r="8">
      <c r="A8" s="42" t="inlineStr">
        <is>
          <t>SIMPLIFIED deduction</t>
        </is>
      </c>
      <c r="B8" s="39" t="n">
        <f>MIN(B6,300)*5</f>
        <v>750</v>
      </c>
    </row>
    <row r="10">
      <c r="A10" s="6" t="inlineStr">
        <is>
          <t>ACTUAL method — annual cost of running the home (yellow)</t>
        </is>
      </c>
      <c r="B10" s="6" t="inlineStr">
        <is>
          <t>Annual $</t>
        </is>
      </c>
      <c r="C10" s="6" t="inlineStr">
        <is>
          <t>Business share</t>
        </is>
      </c>
    </row>
    <row r="11">
      <c r="A11" s="4" t="inlineStr">
        <is>
          <t>Mortgage interest (not principal)</t>
        </is>
      </c>
      <c r="B11" s="43" t="n">
        <v>0</v>
      </c>
      <c r="C11" s="44" t="n">
        <f>$B$7*B11</f>
        <v>0</v>
      </c>
    </row>
    <row r="12">
      <c r="A12" s="4" t="inlineStr">
        <is>
          <t>Real-estate taxes</t>
        </is>
      </c>
      <c r="B12" s="43" t="n">
        <v>0</v>
      </c>
      <c r="C12" s="44" t="n">
        <f>$B$7*B12</f>
        <v>0</v>
      </c>
    </row>
    <row r="13">
      <c r="A13" s="4" t="inlineStr">
        <is>
          <t>Homeowners insurance</t>
        </is>
      </c>
      <c r="B13" s="43" t="n">
        <v>0</v>
      </c>
      <c r="C13" s="44" t="n">
        <f>$B$7*B13</f>
        <v>0</v>
      </c>
    </row>
    <row r="14">
      <c r="A14" s="4" t="inlineStr">
        <is>
          <t>Electric / gas / water / trash</t>
        </is>
      </c>
      <c r="B14" s="43" t="n">
        <v>0</v>
      </c>
      <c r="C14" s="44" t="n">
        <f>$B$7*B14</f>
        <v>0</v>
      </c>
    </row>
    <row r="15">
      <c r="A15" s="4" t="inlineStr">
        <is>
          <t>Internet</t>
        </is>
      </c>
      <c r="B15" s="43" t="n">
        <v>0</v>
      </c>
      <c r="C15" s="44" t="n">
        <f>$B$7*B15</f>
        <v>0</v>
      </c>
    </row>
    <row r="16">
      <c r="A16" s="4" t="inlineStr">
        <is>
          <t>Repairs &amp; maintenance (whole home)</t>
        </is>
      </c>
      <c r="B16" s="43" t="n">
        <v>0</v>
      </c>
      <c r="C16" s="44" t="n">
        <f>$B$7*B16</f>
        <v>0</v>
      </c>
    </row>
    <row r="17">
      <c r="A17" s="4" t="inlineStr">
        <is>
          <t>Cleaning</t>
        </is>
      </c>
      <c r="B17" s="43" t="n">
        <v>0</v>
      </c>
      <c r="C17" s="44" t="n">
        <f>$B$7*B17</f>
        <v>0</v>
      </c>
    </row>
    <row r="18">
      <c r="A18" s="4" t="inlineStr">
        <is>
          <t>Other (describe in notes)</t>
        </is>
      </c>
      <c r="B18" s="43" t="n">
        <v>0</v>
      </c>
      <c r="C18" s="44" t="n">
        <f>$B$7*B18</f>
        <v>0</v>
      </c>
    </row>
    <row r="19">
      <c r="A19" s="4" t="inlineStr">
        <is>
          <t>Direct office-only expenses (100% deductible, e.g. office paint, dedicated line)</t>
        </is>
      </c>
      <c r="B19" s="43" t="n">
        <v>0</v>
      </c>
      <c r="C19" s="44" t="n">
        <f>B19</f>
        <v>0</v>
      </c>
    </row>
    <row r="20">
      <c r="A20" s="40" t="inlineStr">
        <is>
          <t>ACTUAL home-office deduction (before depreciation)</t>
        </is>
      </c>
      <c r="B20" s="39" t="n">
        <f>SUM(C11:C19)</f>
        <v>0</v>
      </c>
    </row>
    <row r="21">
      <c r="A21" s="32" t="inlineStr">
        <is>
          <t>Home-office traps:  1) A spare bedroom that doubles as a guest room fails the exclusive-use test.  2) Actual method may add depreciation on the office % of the home's basis — that slice can be recaptured when you sell; simplified avoids it.  3) Home-office status is what can turn the drive from home to a rental into deductible business travel instead of a commute.  4) W-2 employees cannot claim this deduction (suspended 2018-2025 and generally unavailable to employees); it is for the self-employed / business side — rentals reported as a business should confirm treatment with the strategist.</t>
        </is>
      </c>
    </row>
    <row r="22"/>
    <row r="23"/>
    <row r="25">
      <c r="A25" s="23" t="inlineStr">
        <is>
          <t>VEHICLE — Standard Mileage vs Actual Expenses (choose ONE per vehicle, per year)</t>
        </is>
      </c>
    </row>
    <row r="26">
      <c r="A26" s="42" t="inlineStr">
        <is>
          <t>Standard mileage deduction (from Mileage Summary)</t>
        </is>
      </c>
      <c r="B26" s="39" t="n">
        <f>'MILEAGE SUMMARY'!B10</f>
        <v>29.3625</v>
      </c>
      <c r="C26" s="32" t="inlineStr">
        <is>
          <t>Vehicle rules of thumb:  Standard is best for paid-off, fuel-efficient vehicles driven a lot for business. Actual can win for expensive trucks with high running costs — but it demands every receipt and still only counts at the business %. Switching rules: if you used Actual with accelerated depreciation on a vehicle, you may be locked out of Standard for it later — decide in year one with the strategist. Keep Jan 1 / Dec 31 odometer photos either way.</t>
        </is>
      </c>
    </row>
    <row r="27">
      <c r="A27" s="42" t="inlineStr">
        <is>
          <t>Business-use % (from Mileage Summary)</t>
        </is>
      </c>
      <c r="B27" s="37" t="n">
        <f>'MILEAGE SUMMARY'!B8</f>
        <v>1</v>
      </c>
    </row>
    <row r="28">
      <c r="A28" s="6" t="inlineStr">
        <is>
          <t>ACTUAL — annual vehicle costs (yellow)</t>
        </is>
      </c>
      <c r="B28" s="6" t="inlineStr">
        <is>
          <t>$ / year</t>
        </is>
      </c>
    </row>
    <row r="29">
      <c r="A29" s="4" t="inlineStr">
        <is>
          <t>Gas / charging</t>
        </is>
      </c>
      <c r="B29" s="43" t="n">
        <v>0</v>
      </c>
    </row>
    <row r="30">
      <c r="A30" s="4" t="inlineStr">
        <is>
          <t>Insurance</t>
        </is>
      </c>
      <c r="B30" s="43" t="n">
        <v>0</v>
      </c>
    </row>
    <row r="31">
      <c r="A31" s="4" t="inlineStr">
        <is>
          <t>Repairs &amp; tires</t>
        </is>
      </c>
      <c r="B31" s="43" t="n">
        <v>0</v>
      </c>
    </row>
    <row r="32">
      <c r="A32" s="4" t="inlineStr">
        <is>
          <t>Registration / taxes</t>
        </is>
      </c>
      <c r="B32" s="43" t="n">
        <v>0</v>
      </c>
    </row>
    <row r="33">
      <c r="A33" s="4" t="inlineStr">
        <is>
          <t>Loan interest (business share handled by %)</t>
        </is>
      </c>
      <c r="B33" s="43" t="n">
        <v>0</v>
      </c>
    </row>
    <row r="34">
      <c r="A34" s="4" t="inlineStr">
        <is>
          <t>Lease payments</t>
        </is>
      </c>
      <c r="B34" s="43" t="n">
        <v>0</v>
      </c>
    </row>
    <row r="35">
      <c r="A35" s="4" t="inlineStr">
        <is>
          <t>Other vehicle costs</t>
        </is>
      </c>
      <c r="B35" s="43" t="n">
        <v>0</v>
      </c>
    </row>
    <row r="36">
      <c r="A36" s="40" t="inlineStr">
        <is>
          <t>ACTUAL vehicle deduction (costs x business %)</t>
        </is>
      </c>
      <c r="B36" s="39" t="n">
        <f>SUM(B29:B35)*B27</f>
        <v>0</v>
      </c>
    </row>
    <row r="37">
      <c r="A37" s="45" t="inlineStr">
        <is>
          <t>HIGHER of the two (guide only — method rules control)</t>
        </is>
      </c>
      <c r="B37" s="46" t="n">
        <f>MAX(B26,B36)</f>
        <v>29.3625</v>
      </c>
    </row>
    <row r="39">
      <c r="A39" s="32" t="inlineStr">
        <is>
          <t>A PORTION OF EVERYDAY BILLS IS THE POINT: at a 15% office share, 15% of electric, internet, insurance and whole-home repairs becomes a business deduction; at a 40% business-driving share, 40% of vehicle costs does. Small percentages on big household bills are real money across a year — but only with the logs to prove the percentages.</t>
        </is>
      </c>
    </row>
    <row r="40"/>
    <row r="41"/>
  </sheetData>
  <mergeCells count="8">
    <mergeCell ref="A2:F2"/>
    <mergeCell ref="C5:F8"/>
    <mergeCell ref="A1:F1"/>
    <mergeCell ref="A21:F23"/>
    <mergeCell ref="A39:F41"/>
    <mergeCell ref="A4:F4"/>
    <mergeCell ref="C26:F37"/>
    <mergeCell ref="A25:F25"/>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H37"/>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30" customWidth="1" min="3" max="3"/>
    <col width="12" customWidth="1" min="4" max="4"/>
    <col width="12" customWidth="1" min="5" max="5"/>
    <col width="14" customWidth="1" min="6" max="6"/>
    <col width="14" customWidth="1" min="7" max="7"/>
    <col width="16" customWidth="1" min="8" max="8"/>
  </cols>
  <sheetData>
    <row r="1" ht="28" customHeight="1">
      <c r="A1" s="1" t="inlineStr">
        <is>
          <t>HIRE YOUR KIDS + AUGUSTA RULE TRACKERS</t>
        </is>
      </c>
    </row>
    <row r="2" ht="30" customHeight="1">
      <c r="A2" s="2" t="inlineStr">
        <is>
          <t>Kids: real jobs, reasonable pay, payroll paperwork — the deduction survives on documentation. Augusta: 14 days is a hard wall, not an average.</t>
        </is>
      </c>
    </row>
    <row r="4">
      <c r="A4" s="23" t="inlineStr">
        <is>
          <t>HIRE YOUR KIDS — wages you deduct, they shelter under their own standard deduction</t>
        </is>
      </c>
    </row>
    <row r="5">
      <c r="A5" t="inlineStr">
        <is>
          <t>Standard deduction per child ($) — update yearly</t>
        </is>
      </c>
      <c r="B5" s="43" t="n">
        <v>15750</v>
      </c>
      <c r="C5" s="32" t="inlineStr">
        <is>
          <t>Default shown is the 2025 figure ($15,750) — replace it with the current year's amount. A child can earn up to this in W-2 wages and owe $0 federal income tax; earned wages also unlock a custodial Roth IRA (up to their earned income, within the annual IRA limit).</t>
        </is>
      </c>
    </row>
    <row r="7">
      <c r="A7" s="6" t="inlineStr">
        <is>
          <t>Child name</t>
        </is>
      </c>
      <c r="B7" s="6" t="inlineStr">
        <is>
          <t>Age</t>
        </is>
      </c>
      <c r="C7" s="6" t="inlineStr">
        <is>
          <t>Job duties (real + age-appropriate)</t>
        </is>
      </c>
      <c r="D7" s="6" t="inlineStr">
        <is>
          <t>Hours/yr</t>
        </is>
      </c>
      <c r="E7" s="6" t="inlineStr">
        <is>
          <t>Pay $/hr</t>
        </is>
      </c>
      <c r="F7" s="6" t="inlineStr">
        <is>
          <t>Wages (formula)</t>
        </is>
      </c>
      <c r="G7" s="6" t="inlineStr">
        <is>
          <t>Deduction room left</t>
        </is>
      </c>
      <c r="H7" s="6" t="inlineStr">
        <is>
          <t>FICA note</t>
        </is>
      </c>
    </row>
    <row r="8" ht="28" customHeight="1">
      <c r="A8" s="8" t="inlineStr">
        <is>
          <t>Example — delete me</t>
        </is>
      </c>
      <c r="B8" s="8" t="n">
        <v>14</v>
      </c>
      <c r="C8" s="19" t="inlineStr">
        <is>
          <t>Yard work, unit clean-up, photos for listings</t>
        </is>
      </c>
      <c r="D8" s="31" t="n">
        <v>120</v>
      </c>
      <c r="E8" s="43" t="n">
        <v>15</v>
      </c>
      <c r="F8" s="44" t="n">
        <f>D8*E8</f>
        <v>1800</v>
      </c>
      <c r="G8" s="44" t="n">
        <f>$B$5-F8</f>
        <v>13950</v>
      </c>
      <c r="H8" s="9" t="str">
        <f>IF(B8="","",IF(B8&lt;18,"Under 18: FICA-exempt IF sole prop / parents-only partnership","18+: payroll taxes apply"))</f>
        <v>Under 18: FICA-exempt IF sole prop / parents-only partnership</v>
      </c>
    </row>
    <row r="9" ht="28" customHeight="1">
      <c r="A9" s="8" t="inlineStr">
        <is>
          <t>Child 2</t>
        </is>
      </c>
      <c r="B9" s="8" t="n"/>
      <c r="C9" s="19" t="inlineStr"/>
      <c r="D9" s="31" t="n">
        <v>0</v>
      </c>
      <c r="E9" s="43" t="n">
        <v>0</v>
      </c>
      <c r="F9" s="44" t="n">
        <f>D9*E9</f>
        <v>0</v>
      </c>
      <c r="G9" s="44" t="n">
        <f>$B$5-F9</f>
        <v>15750</v>
      </c>
      <c r="H9" s="9" t="str">
        <f>IF(B9="","",IF(B9&lt;18,"Under 18: FICA-exempt IF sole prop / parents-only partnership","18+: payroll taxes apply"))</f>
        <v/>
      </c>
    </row>
    <row r="10" ht="28" customHeight="1">
      <c r="A10" s="8" t="inlineStr">
        <is>
          <t>Child 3</t>
        </is>
      </c>
      <c r="B10" s="8" t="n"/>
      <c r="C10" s="19" t="inlineStr"/>
      <c r="D10" s="31" t="n">
        <v>0</v>
      </c>
      <c r="E10" s="43" t="n">
        <v>0</v>
      </c>
      <c r="F10" s="44" t="n">
        <f>D10*E10</f>
        <v>0</v>
      </c>
      <c r="G10" s="44" t="n">
        <f>$B$5-F10</f>
        <v>15750</v>
      </c>
      <c r="H10" s="9" t="str">
        <f>IF(B10="","",IF(B10&lt;18,"Under 18: FICA-exempt IF sole prop / parents-only partnership","18+: payroll taxes apply"))</f>
        <v/>
      </c>
    </row>
    <row r="11" ht="28" customHeight="1">
      <c r="A11" s="8" t="inlineStr">
        <is>
          <t>Child 4</t>
        </is>
      </c>
      <c r="B11" s="8" t="n"/>
      <c r="C11" s="19" t="inlineStr"/>
      <c r="D11" s="31" t="n">
        <v>0</v>
      </c>
      <c r="E11" s="43" t="n">
        <v>0</v>
      </c>
      <c r="F11" s="44" t="n">
        <f>D11*E11</f>
        <v>0</v>
      </c>
      <c r="G11" s="44" t="n">
        <f>$B$5-F11</f>
        <v>15750</v>
      </c>
      <c r="H11" s="9" t="str">
        <f>IF(B11="","",IF(B11&lt;18,"Under 18: FICA-exempt IF sole prop / parents-only partnership","18+: payroll taxes apply"))</f>
        <v/>
      </c>
    </row>
    <row r="12">
      <c r="A12" s="47" t="inlineStr">
        <is>
          <t>Total wages deducted by the business</t>
        </is>
      </c>
      <c r="B12" s="48" t="n"/>
      <c r="C12" s="48" t="n"/>
      <c r="D12" s="48" t="n"/>
      <c r="E12" s="49" t="n"/>
      <c r="F12" s="39" t="n">
        <f>SUM(F8:F11)</f>
        <v>1800</v>
      </c>
    </row>
    <row r="13">
      <c r="A13" s="32" t="inlineStr">
        <is>
          <t>ALL THE RULES — HIRING YOUR KIDS:  1) Work must be legitimate and age-appropriate; pay must be reasonable for the job (what you'd pay a stranger).  2) Under 18 working for a sole proprietorship or a partnership where each partner is a parent: wages are exempt from Social Security/Medicare (FICA); under 21 also exempt from federal unemployment (FUTA). Corporations (incl. S-corps) do NOT get this exemption on the owner's children.  3) Issue a W-2 (they are employees, not 1099 contractors), run real payroll, pay by check/transfer into an account in the child's name — never cash, never round-number 'allowances'.  4) Keep timesheets (the Hours Log works — put the child as Person), a written job description, and proof of payment.  5) State child-labor law still controls hours/jobs.  6) Wages are earned income, so the kiddie tax does not apply to them.  7) The business deducts the wages as an ordinary business expense (IRC Sec. 162); the child shelters up to their standard deduction.</t>
        </is>
      </c>
    </row>
    <row r="14"/>
    <row r="15"/>
    <row r="16"/>
    <row r="18">
      <c r="A18" s="23" t="inlineStr">
        <is>
          <t>AUGUSTA RULE (IRC Sec. 280A(g)) — rent your home to your own business up to 14 days a year, tax-free to you, deductible to the business</t>
        </is>
      </c>
    </row>
    <row r="19">
      <c r="A19" s="50" t="inlineStr">
        <is>
          <t>Fair-market rent per day ($) — document comps</t>
        </is>
      </c>
      <c r="B19" s="43" t="n">
        <v>500</v>
      </c>
      <c r="C19" s="32" t="inlineStr">
        <is>
          <t>Needs a REAL separate business entity — a sole proprietor cannot rent a home to themselves. Business must actually use the home (meetings, planning days, content/records days), pay fair-market rent (save 2-3 hotel/meeting-space comps), write minutes/invoices, and pay by check. Day 15 destroys the exclusion for ALL the days — watch the counter.</t>
        </is>
      </c>
    </row>
    <row r="20">
      <c r="A20" s="50" t="inlineStr">
        <is>
          <t>Days used so far</t>
        </is>
      </c>
      <c r="B20" s="26" t="n">
        <f>COUNTA(A24:A37)</f>
        <v>0</v>
      </c>
    </row>
    <row r="21">
      <c r="A21" s="50" t="inlineStr">
        <is>
          <t>Days remaining (of 14)</t>
        </is>
      </c>
      <c r="B21" s="26" t="n">
        <f>14-B20</f>
        <v>14</v>
      </c>
    </row>
    <row r="22">
      <c r="A22" s="50" t="inlineStr">
        <is>
          <t>Tax-free income so far</t>
        </is>
      </c>
      <c r="B22" s="39" t="n">
        <f>B20*B19</f>
        <v>0</v>
      </c>
    </row>
    <row r="23">
      <c r="A23" s="6" t="inlineStr">
        <is>
          <t>Date</t>
        </is>
      </c>
      <c r="B23" s="6" t="inlineStr">
        <is>
          <t>Business purpose</t>
        </is>
      </c>
      <c r="C23" s="6" t="inlineStr">
        <is>
          <t>Who attended</t>
        </is>
      </c>
      <c r="D23" s="6" t="inlineStr">
        <is>
          <t>Rent charged</t>
        </is>
      </c>
      <c r="E23" s="6" t="inlineStr">
        <is>
          <t>Paid? (check #)</t>
        </is>
      </c>
    </row>
    <row r="24">
      <c r="A24" s="18" t="n"/>
      <c r="B24" s="19" t="n"/>
      <c r="C24" s="8" t="n"/>
      <c r="D24" s="43" t="n"/>
      <c r="E24" s="8" t="n"/>
    </row>
    <row r="25">
      <c r="A25" s="18" t="n"/>
      <c r="B25" s="19" t="n"/>
      <c r="C25" s="8" t="n"/>
      <c r="D25" s="43" t="n"/>
      <c r="E25" s="8" t="n"/>
    </row>
    <row r="26">
      <c r="A26" s="18" t="n"/>
      <c r="B26" s="19" t="n"/>
      <c r="C26" s="8" t="n"/>
      <c r="D26" s="43" t="n"/>
      <c r="E26" s="8" t="n"/>
    </row>
    <row r="27">
      <c r="A27" s="18" t="n"/>
      <c r="B27" s="19" t="n"/>
      <c r="C27" s="8" t="n"/>
      <c r="D27" s="43" t="n"/>
      <c r="E27" s="8" t="n"/>
    </row>
    <row r="28">
      <c r="A28" s="18" t="n"/>
      <c r="B28" s="19" t="n"/>
      <c r="C28" s="8" t="n"/>
      <c r="D28" s="43" t="n"/>
      <c r="E28" s="8" t="n"/>
    </row>
    <row r="29">
      <c r="A29" s="18" t="n"/>
      <c r="B29" s="19" t="n"/>
      <c r="C29" s="8" t="n"/>
      <c r="D29" s="43" t="n"/>
      <c r="E29" s="8" t="n"/>
    </row>
    <row r="30">
      <c r="A30" s="18" t="n"/>
      <c r="B30" s="19" t="n"/>
      <c r="C30" s="8" t="n"/>
      <c r="D30" s="43" t="n"/>
      <c r="E30" s="8" t="n"/>
    </row>
    <row r="31">
      <c r="A31" s="18" t="n"/>
      <c r="B31" s="19" t="n"/>
      <c r="C31" s="8" t="n"/>
      <c r="D31" s="43" t="n"/>
      <c r="E31" s="8" t="n"/>
    </row>
    <row r="32">
      <c r="A32" s="18" t="n"/>
      <c r="B32" s="19" t="n"/>
      <c r="C32" s="8" t="n"/>
      <c r="D32" s="43" t="n"/>
      <c r="E32" s="8" t="n"/>
    </row>
    <row r="33">
      <c r="A33" s="18" t="n"/>
      <c r="B33" s="19" t="n"/>
      <c r="C33" s="8" t="n"/>
      <c r="D33" s="43" t="n"/>
      <c r="E33" s="8" t="n"/>
    </row>
    <row r="34">
      <c r="A34" s="18" t="n"/>
      <c r="B34" s="19" t="n"/>
      <c r="C34" s="8" t="n"/>
      <c r="D34" s="43" t="n"/>
      <c r="E34" s="8" t="n"/>
    </row>
    <row r="35">
      <c r="A35" s="18" t="n"/>
      <c r="B35" s="19" t="n"/>
      <c r="C35" s="8" t="n"/>
      <c r="D35" s="43" t="n"/>
      <c r="E35" s="8" t="n"/>
    </row>
    <row r="36">
      <c r="A36" s="18" t="n"/>
      <c r="B36" s="19" t="n"/>
      <c r="C36" s="8" t="n"/>
      <c r="D36" s="43" t="n"/>
      <c r="E36" s="8" t="n"/>
    </row>
    <row r="37">
      <c r="A37" s="18" t="n"/>
      <c r="B37" s="19" t="n"/>
      <c r="C37" s="8" t="n"/>
      <c r="D37" s="43" t="n"/>
      <c r="E37" s="8" t="n"/>
    </row>
  </sheetData>
  <mergeCells count="8">
    <mergeCell ref="A18:H18"/>
    <mergeCell ref="A4:H4"/>
    <mergeCell ref="A12:E12"/>
    <mergeCell ref="C5:H5"/>
    <mergeCell ref="A2:H2"/>
    <mergeCell ref="C19:H22"/>
    <mergeCell ref="A1:H1"/>
    <mergeCell ref="A13:H16"/>
  </mergeCells>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G14"/>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62" customWidth="1" min="3" max="3"/>
    <col width="30" customWidth="1" min="4" max="4"/>
    <col width="16" customWidth="1" min="5" max="5"/>
    <col width="34" customWidth="1" min="6" max="6"/>
    <col width="34" customWidth="1" min="7" max="7"/>
  </cols>
  <sheetData>
    <row r="1" ht="28" customHeight="1">
      <c r="A1" s="1" t="inlineStr">
        <is>
          <t>STRATEGY RULES — the full rules list for all 7 (+ the myth that is not a strategy)</t>
        </is>
      </c>
    </row>
    <row r="2" ht="30" customHeight="1">
      <c r="A2" s="2" t="inlineStr">
        <is>
          <t>Ordered for a working landlord whose goal is: paper profit toward $0, real equity up, cash out by borrowing against the property (not taxable), renters retire the note. 'Plan ahead?' is the column that decides what you do BEFORE December.</t>
        </is>
      </c>
    </row>
    <row r="4">
      <c r="A4" s="6" t="inlineStr">
        <is>
          <t>Strategy</t>
        </is>
      </c>
      <c r="B4" s="6" t="inlineStr">
        <is>
          <t>What it does for you</t>
        </is>
      </c>
      <c r="C4" s="6" t="inlineStr">
        <is>
          <t>ALL the rules (complete list)</t>
        </is>
      </c>
      <c r="D4" s="6" t="inlineStr">
        <is>
          <t>Numbers to know</t>
        </is>
      </c>
      <c r="E4" s="6" t="inlineStr">
        <is>
          <t>Plan ahead?</t>
        </is>
      </c>
      <c r="F4" s="6" t="inlineStr">
        <is>
          <t>Evidence to keep</t>
        </is>
      </c>
      <c r="G4" s="6" t="inlineStr">
        <is>
          <t>How it most often fails / watch-outs</t>
        </is>
      </c>
    </row>
    <row r="5" ht="150" customHeight="1">
      <c r="A5" s="51" t="inlineStr">
        <is>
          <t>0 — THE MYTH: 'Keep a mortgage for the interest write-off'</t>
        </is>
      </c>
      <c r="B5" s="52" t="inlineStr">
        <is>
          <t>Nothing. It is a bank story. $10,000 of interest at a 24% bracket saves $2,400 of tax — you spent $10,000 to save $2,400 and are $7,600 poorer for the privilege.</t>
        </is>
      </c>
      <c r="C5" s="52" t="inlineStr">
        <is>
          <t>1) Interest is only deductible as a business cost — it is never a benefit by itself. 2) Paying tax on profit means you MADE profit; paying interest to avoid it trades $1.00 for ~$0.24-$0.37. 3) Strategy is the opposite: zero the paper profit with depreciation + real expenses, build equity, borrow against equity when cash is needed (loan proceeds are not income).</t>
        </is>
      </c>
      <c r="D5" s="52" t="inlineStr">
        <is>
          <t>Example: $10,000 interest x 24% = $2,400 tax saved; net cost $7,600.</t>
        </is>
      </c>
      <c r="E5" s="52" t="inlineStr">
        <is>
          <t>No</t>
        </is>
      </c>
      <c r="F5" s="52" t="inlineStr">
        <is>
          <t>A one-line note in your plan so nobody 'optimizes' you back into debt for deductions.</t>
        </is>
      </c>
      <c r="G5" s="52" t="inlineStr">
        <is>
          <t>Letting a lender or tax preparer frame debt as a tax strategy. CPA processes; a tax strategist plans — this is the difference.</t>
        </is>
      </c>
    </row>
    <row r="6" ht="150" customHeight="1">
      <c r="A6" s="51" t="inlineStr">
        <is>
          <t>1 — Short-Term Rental (STR) exception</t>
        </is>
      </c>
      <c r="B6" s="52" t="inlineStr">
        <is>
          <t>Rent by the week and run it yourself: rental losses (powered by cost segregation) can offset job/business income WITHOUT being a real-estate professional.</t>
        </is>
      </c>
      <c r="C6" s="52" t="inlineStr">
        <is>
          <t>1) Average guest stay must be 7 days or less (total rented days / bookings), OR 30 days or less WITH substantial services (during-stay cleaning, meals, concierge-type services). 2) You must MATERIALLY PARTICIPATE (any one Pub. 925 test: &gt;500 hrs; &gt;100 hrs and more than anyone else incl. cleaners/managers; you do substantially all the work; etc.). 3) Then the activity is treated as a business, not a rental — Sec. 469 passive limits do not shelve the losses. 4) If a property manager does more than you, you fail — structure duties accordingly. 5) Personal use &gt; greater of 14 days or 10% of rented days converts it toward a residence with loss limits. 6) Excess-business-loss limits can cap very large losses in a year; the rest carries forward.</t>
        </is>
      </c>
      <c r="D6" s="52" t="inlineStr">
        <is>
          <t>7-day average is the whole ballgame. Example pattern: $250k paper loss from a cost-seg study offsetting salary can be worth $50k+ of tax in that year (illustration, not a promise).</t>
        </is>
      </c>
      <c r="E6" s="52" t="inlineStr">
        <is>
          <t>YES — setup before first guests</t>
        </is>
      </c>
      <c r="F6" s="52" t="inlineStr">
        <is>
          <t>Hours Log (you vs everyone else!), booking reports proving average stay, listing/calendar exports, cleaner/manager invoices showing fewer hours than yours.</t>
        </is>
      </c>
      <c r="G6" s="52" t="inlineStr">
        <is>
          <t>Hiring a full-service manager (their hours exceed yours), letting average stays drift over 7 days with monthly renters, reconstructed hour logs.</t>
        </is>
      </c>
    </row>
    <row r="7" ht="150" customHeight="1">
      <c r="A7" s="51" t="inlineStr">
        <is>
          <t>2 — Real Estate Professional Status (REPS) + grouping</t>
        </is>
      </c>
      <c r="B7" s="52" t="inlineStr">
        <is>
          <t>For long-term rentals: one spouse qualifies, the whole family's rental losses become usable against other income. This is Brandy's lane.</t>
        </is>
      </c>
      <c r="C7" s="52" t="inlineStr">
        <is>
          <t>1) SAME person must pass BOTH: (a) MORE than 750 hours in real-property trades/businesses in which they materially participate, and (b) MORE than half of ALL their working time that year is in those businesses (Sec. 469(c)(7)). 2) Spouses cannot pool hours for the 750/&gt;50% tests (joint return: either spouse may qualify, individually). 3) REPS alone is not enough — you must ALSO materially participate in the rental activity (per property, OR elect to group all rentals as one activity). 4) Real-property businesses include rental operation, management, leasing, construction, acquisition, development, brokerage. 5) Employee hours in someone else's real-estate business count only if you own &gt;5%. 6) Investor-type hours (reviewing statements, studying deals) do not count toward material participation. 7) No formal election files REPS itself, but the GROUPING election is formal, on the return, and generally binding.</t>
        </is>
      </c>
      <c r="D7" s="52" t="inlineStr">
        <is>
          <t>750 hrs ≈ 14.5 hrs/week every week. &gt;50%: a 1,000-hr outside job needs &gt;1,000 real-estate hrs. Losses then offset the other spouse's income on a joint return.</t>
        </is>
      </c>
      <c r="E7" s="52" t="inlineStr">
        <is>
          <t>YES — hours happen all year or not at all</t>
        </is>
      </c>
      <c r="F7" s="52" t="inlineStr">
        <is>
          <t>Contemporaneous Hours Log (operational category), calendars, tenant/repair communications, outside-job hour proof for the &gt;50% denominator.</t>
        </is>
      </c>
      <c r="G7" s="52" t="inlineStr">
        <is>
          <t>Counting investor-type hours, an outside W-2 quietly breaking the &gt;50% test, no log (Tax Court routinely denies REPS without credible time records).</t>
        </is>
      </c>
    </row>
    <row r="8" ht="150" customHeight="1">
      <c r="A8" s="51" t="inlineStr">
        <is>
          <t>3 — Cost segregation + bonus depreciation (the engine)</t>
        </is>
      </c>
      <c r="B8" s="52" t="inlineStr">
        <is>
          <t>Carves 20-35% of a building's price out of 27.5-year depreciation into 5/7/15-year parts, then writes those parts off immediately with bonus depreciation. Creates the paper loss that Strategies 1 &amp; 2 make usable.</t>
        </is>
      </c>
      <c r="C8" s="52" t="inlineStr">
        <is>
          <t>1) Needs an engineering-based study (or defensible DIY/software study for small properties) allocating price among land (never depreciable), building (27.5-yr residential / 39-yr commercial), personal property (5/7-yr) and land improvements (15-yr). 2) Bonus applies only to components with recovery of 20 years or less — the study is what creates eligible components. 3) Current law: 100% bonus for qualifying property acquired and placed in service after Jan 19, 2025 (restored permanently by the 2025 Act, replacing the phase-down) — confirm the rate for your placed-in-service year with the strategist. 4) Property must be placed in service (ready and available to rent) in the year claimed. 5) A big paper loss only HELPS if it is usable (Strategy 1, 2, or passive income to absorb it) — otherwise it suspends. 6) Depreciation lowers basis; on a later taxable sale, unrecaptured Sec. 1250 gain is taxed up to 25%, personal-property recapture at ordinary rates.</t>
        </is>
      </c>
      <c r="D8" s="52" t="inlineStr">
        <is>
          <t>Typical reclass: 20-35% of building price. On a $500k property, year-one depreciation can jump from ~$14.5k (straight 27.5-yr) to ~$130k with study + 100% bonus (illustration).</t>
        </is>
      </c>
      <c r="E8" s="52" t="inlineStr">
        <is>
          <t>YES — order the study in the purchase year</t>
        </is>
      </c>
      <c r="F8" s="52" t="inlineStr">
        <is>
          <t>The study report itself, closing statement, placed-in-service proof (listing/lease), photos of components.</t>
        </is>
      </c>
      <c r="G8" s="52" t="inlineStr">
        <is>
          <t>Doing the study when losses cannot be used, forgetting recapture in exit math: heavy write-offs + heavy borrowing + taxable sale can leave tax bigger than cash left — pair with Strategy 4/5 exits.</t>
        </is>
      </c>
    </row>
    <row r="9" ht="150" customHeight="1">
      <c r="A9" s="51" t="inlineStr">
        <is>
          <t>4 — 1031 exchange (the exit door)</t>
        </is>
      </c>
      <c r="B9" s="52" t="inlineStr">
        <is>
          <t>Sell an investment property and roll ALL proceeds into the next investment property: capital-gain tax AND depreciation recapture deferred (not forgiven). Keeps the equity compounding.</t>
        </is>
      </c>
      <c r="C9" s="52" t="inlineStr">
        <is>
          <t>1) Both properties must be US real property held for business/investment — no personal residences, no fix-and-flip inventory. 2) A Qualified Intermediary (QI) must hold the sale money; you can never touch or control the proceeds (no constructive receipt). 3) Identify replacement(s) IN WRITING to the QI within 45 days of sale (3-property rule, or 200%/95% alternatives). 4) Close within 180 days of sale OR the tax-return due date for that year, whichever is earlier (file an extension if needed). 5) Same taxpayer must take title. 6) For FULL deferral: buy equal-or-greater value and replace equal-or-greater debt; any cash/non-like-kind kept ('boot') is taxable. 7) Related-party exchanges carry a 2-year hold rule. 8) File Form 8824. Deadlines are calendar days with no extensions for weekends in most cases — treat them as immovable.</t>
        </is>
      </c>
      <c r="D9" s="52" t="inlineStr">
        <is>
          <t>45 / 180 days, both clocks start at sale closing. Deferral can chain for decades; basis steps up at death under current law, which can erase the deferred gain entirely.</t>
        </is>
      </c>
      <c r="E9" s="52" t="inlineStr">
        <is>
          <t>YES — QI engaged BEFORE the sale closes</t>
        </is>
      </c>
      <c r="F9" s="52" t="inlineStr">
        <is>
          <t>QI agreement, written 45-day identification, settlement statements, Form 8824. Never let proceeds hit your account, even overnight.</t>
        </is>
      </c>
      <c r="G9" s="52" t="inlineStr">
        <is>
          <t>Missing day 45 by one day = full tax. Touching the money = full tax. Buying less house = partial tax on the shortfall (boot).</t>
        </is>
      </c>
    </row>
    <row r="10" ht="150" customHeight="1">
      <c r="A10" s="51" t="inlineStr">
        <is>
          <t>5 — Sell-your-home exclusion stacked with a 1031 (house-hack exit)</t>
        </is>
      </c>
      <c r="B10" s="52" t="inlineStr">
        <is>
          <t>The only play that makes gain DISAPPEAR (not defer): live in one unit of a 2-4 unit property, rent the rest; at sale your unit's gain is excluded tax-free, the rental side rolls onward in a 1031. Matches the live-in-one, rent-three setup.</t>
        </is>
      </c>
      <c r="C10" s="52" t="inlineStr">
        <is>
          <t>1) Exclusion (Sec. 121): up to $250,000 single / $500,000 married filing jointly of gain excluded if you OWNED and USED the home as your main home for 2 of the 5 years before sale. 2) Generally once every 2 years. 3) A multi-unit property is two assets at sale: your residence portion gets the exclusion; the rental portion does not — allocate price, basis and depreciation by a reasonable method (units or square footage; duplex defaults matter — document yours). 4) Depreciation taken on the rental portion after May 6, 1997 is NOT excludable — it is recaptured (up to 25%) even on the residence side's unrecaptured portion. 5) The rental portion can go into a 1031 (needs its own QI/deadlines — Strategy 4). 6) Periods of nonqualified use after 2008 can prorate away part of the exclusion — long rentals before moving in matter.</t>
        </is>
      </c>
      <c r="D10" s="52" t="inlineStr">
        <is>
          <t>Worked pattern (from your 4-plex example): $600k buy, sell $800k in 5 yrs — your unit's ~$40k gain excluded to $0; rental side ~$185k splits into ~$65k recapture (to 25%) + ~$120k capital gain — that rental side is what the 1031 must carry.</t>
        </is>
      </c>
      <c r="E10" s="52" t="inlineStr">
        <is>
          <t>YES — allocation method chosen at purchase, not at sale</t>
        </is>
      </c>
      <c r="F10" s="52" t="inlineStr">
        <is>
          <t>Settlement split, square-footage/unit allocation worksheet, depreciation schedules per portion, occupancy proof (mail, license, utilities).</t>
        </is>
      </c>
      <c r="G10" s="52" t="inlineStr">
        <is>
          <t>Waiting until closing week to allocate, forgetting depreciation recapture survives the exclusion, missing the 2-of-5-years use test after moving out (3-year window to sell).</t>
        </is>
      </c>
    </row>
    <row r="11" ht="150" customHeight="1">
      <c r="A11" s="51" t="inlineStr">
        <is>
          <t>6 — Hire your kids</t>
        </is>
      </c>
      <c r="B11" s="52" t="inlineStr">
        <is>
          <t>Pay your children real wages for real work: the business deducts it, the child shelters it under their own standard deduction, and the wages unlock a custodial Roth IRA. Roughly $15k+ per child per year moves from your bracket to 0%.</t>
        </is>
      </c>
      <c r="C11" s="52" t="inlineStr">
        <is>
          <t>1) Legitimate, age-appropriate work at reasonable pay (see Kids &amp; Augusta sheet for the payroll/FICA/W-2 rule list — all of it applies). 2) Amount up to the child's standard deduction owes $0 federal income tax; above it, taxed at the CHILD's low rates. 3) Earned wages are not hit by the kiddie tax. 4) Under-18 FICA exemption only through a sole prop / parents-only partnership (an S-corp must route carefully or pay payroll tax). 5) Deductible to the business under Sec. 162 as ordinary-and-necessary wages. 6) Child-labor law (state) still governs.</t>
        </is>
      </c>
      <c r="D11" s="52" t="inlineStr">
        <is>
          <t>Per child: up to the standard deduction tax-free (default input $15,750 for 2025 on the Kids sheet — update yearly). Two kids at the cap ≈ $31k+ of deductions moved off your return.</t>
        </is>
      </c>
      <c r="E11" s="52" t="inlineStr">
        <is>
          <t>SOME — payroll must exist before wages are paid</t>
        </is>
      </c>
      <c r="F11" s="52" t="inlineStr">
        <is>
          <t>Timesheets/job description, payroll register, W-2, bank proof into the child's own account, Roth statements.</t>
        </is>
      </c>
      <c r="G11" s="52" t="inlineStr">
        <is>
          <t>Paying a 7-year-old an executive salary, no timesheets, cash 'pay'. Reasonable for the work means reasonable for a stranger doing the same job.</t>
        </is>
      </c>
    </row>
    <row r="12" ht="150" customHeight="1">
      <c r="A12" s="51" t="inlineStr">
        <is>
          <t>7 — Augusta Rule (Sec. 280A(g))</t>
        </is>
      </c>
      <c r="B12" s="52" t="inlineStr">
        <is>
          <t>Rent your own home to your own business for up to 14 days a year: the business deducts fair-market rent; you personally exclude it from income entirely. Small dollars, almost free to run once documented.</t>
        </is>
      </c>
      <c r="C12" s="52" t="inlineStr">
        <is>
          <t>1) Rent the residence 14 days or FEWER in the year — day 15 makes ALL days taxable. 2) Rent must be fair market (document hotel/meeting-space comps). 3) There must be a real business that actually uses the home (board meetings, planning, records, production days) with minutes/agendas. 4) Needs a SEPARATE business entity — a sole proprietor cannot rent to themselves. 5) Business pays by check/transfer and deducts it as rent expense; homeowner excludes under Sec. 280A(g) (no expense deductions against excluded rent beyond normal mortgage interest/taxes on Schedule A). 6) State treatment varies — confirm.</t>
        </is>
      </c>
      <c r="D12" s="52" t="inlineStr">
        <is>
          <t>Example: 14 days x $500 fair rent = $7,000 tax-free to you, $7,000 deducted by the business. Tracked on the Kids &amp; Augusta sheet so day 15 never happens by accident.</t>
        </is>
      </c>
      <c r="E12" s="52" t="inlineStr">
        <is>
          <t>SOME — entity + first meeting documented before first rental</t>
        </is>
      </c>
      <c r="F12" s="52" t="inlineStr">
        <is>
          <t>Written rental agreement, comparable pricing printouts, meeting minutes, invoice + proof of business payment, day counter (Kids &amp; Augusta sheet).</t>
        </is>
      </c>
      <c r="G12" s="52" t="inlineStr">
        <is>
          <t>No separate entity, no documentation of actual business use, drifting to day 15, pricing rent at whatever you wish the deduction was.</t>
        </is>
      </c>
    </row>
    <row r="13" ht="150" customHeight="1">
      <c r="A13" s="51" t="inlineStr">
        <is>
          <t>BONUS — House-hack numbers (live in 1, rent 3)</t>
        </is>
      </c>
      <c r="B13" s="52" t="inlineStr">
        <is>
          <t>Your personal setup, scored with the same 7 strategies: your building is treated as TWO properties (your home + rentals) for expenses, depreciation and sale — while Strategies 2/6/7 run on top of it.</t>
        </is>
      </c>
      <c r="C13" s="52" t="inlineStr">
        <is>
          <t>1) Expenses split by a reasonable method (units or square footage) between personal and rental portions. 2) Depreciation only on the rental portion, and only on the BUILDING share (land excluded): e.g. $600k 4-plex, 75% rented, building portion only ≈ $13,091/yr straight-line illustration. 3) At sale: residence portion -&gt; Strategy 5 exclusion; rental portion -&gt; recapture + gain unless 1031'd. 4) Brandy's REPS hours (Strategy 2) can make the rental losses from this building usable — log hours per unit. 5) Personal-portion mortgage interest/taxes follow normal home rules; rental portion follows rental rules. Two ledgers from day one.</t>
        </is>
      </c>
      <c r="D13" s="52" t="inlineStr">
        <is>
          <t>$600k 4-plex sold at $800k after 5 years: ~$40k residence gain excluded; ~$65k recapture + ~$120k gain on rental side (illustration — your strategist runs your real allocation).</t>
        </is>
      </c>
      <c r="E13" s="52" t="inlineStr">
        <is>
          <t>YES — set the allocation % at closing and keep two expense buckets</t>
        </is>
      </c>
      <c r="F13" s="52" t="inlineStr">
        <is>
          <t>Closing statement, allocation worksheet, per-unit logs (hours, mileage, expenses), listing/lease proof for the rental units.</t>
        </is>
      </c>
      <c r="G13" s="52" t="inlineStr">
        <is>
          <t>One blended ledger (personal + rental mixed) — it quietly poisons depreciation, the exclusion math, and the audit trail at the same time.</t>
        </is>
      </c>
    </row>
    <row r="14">
      <c r="A14" s="32" t="inlineStr">
        <is>
          <t>Sources &amp; currency note: Hour tests IRS Pub. 925 / Sec. 469(c)(7); STR 7-day rule Temp. Reg. 1.469-1T; mileage Notice 2026-10 (2026: 72.5c) / Notice 2025-05 (2025: 70c); home office Pub. 587 ($5/sq ft simplified, 300 sq ft cap); Augusta Sec. 280A(g); kids FICA Sec. 3121(b)(3) &amp; FUTA Sec. 3306; 1031 Sec. 1031 + Form 8824; home exclusion Sec. 121. Bonus-depreciation restoration: 2025 Act (property acquired/placed after Jan 19, 2025, at 100%) — verify the rate for your year with your strategist. Figures marked 'illustration' are examples, not guarantees.</t>
        </is>
      </c>
    </row>
  </sheetData>
  <mergeCells count="3">
    <mergeCell ref="A14:G14"/>
    <mergeCell ref="A2:G2"/>
    <mergeCell ref="A1:G1"/>
  </mergeCells>
  <pageMargins left="0.75" right="0.75" top="1" bottom="1" header="0.5" footer="0.5"/>
  <pageSetup orientation="landscape" paperSize="3" fitToWidth="1"/>
</worksheet>
</file>

<file path=xl/worksheets/sheet10.xml><?xml version="1.0" encoding="utf-8"?>
<worksheet xmlns="http://schemas.openxmlformats.org/spreadsheetml/2006/main">
  <sheetPr>
    <outlinePr summaryBelow="1" summaryRight="1"/>
    <pageSetUpPr fitToPage="1"/>
  </sheetPr>
  <dimension ref="A1:E30"/>
  <sheetViews>
    <sheetView workbookViewId="0">
      <pane ySplit="4" topLeftCell="A5" activePane="bottomLeft" state="frozen"/>
      <selection pane="bottomLeft" activeCell="A1" sqref="A1"/>
    </sheetView>
  </sheetViews>
  <sheetFormatPr baseColWidth="8" defaultRowHeight="15"/>
  <cols>
    <col width="8" customWidth="1" min="1" max="1"/>
    <col width="52" customWidth="1" min="2" max="2"/>
    <col width="18" customWidth="1" min="3" max="3"/>
    <col width="20" customWidth="1" min="4" max="4"/>
    <col width="34" customWidth="1" min="5" max="5"/>
  </cols>
  <sheetData>
    <row r="1" ht="28" customHeight="1">
      <c r="A1" s="1" t="inlineStr">
        <is>
          <t>YEAR-END PACKET — hand this file + this checklist to your tax strategist</t>
        </is>
      </c>
    </row>
    <row r="2" ht="30" customHeight="1">
      <c r="A2" s="2" t="inlineStr">
        <is>
          <t>Totals below flow in from your logs. Your job: gather the paperwork, tick the boxes, and have the planning conversation BEFORE December 31 — elections and grouping cannot be retrofitted in April.</t>
        </is>
      </c>
    </row>
    <row r="4">
      <c r="A4" s="6" t="inlineStr"/>
      <c r="B4" s="6" t="inlineStr">
        <is>
          <t>Year at a glance (automatic)</t>
        </is>
      </c>
      <c r="C4" s="6" t="inlineStr"/>
      <c r="D4" s="6" t="inlineStr">
        <is>
          <t>Total</t>
        </is>
      </c>
      <c r="E4" s="6" t="n"/>
    </row>
    <row r="5">
      <c r="A5" s="27" t="n"/>
      <c r="B5" s="24" t="inlineStr">
        <is>
          <t>Tax year</t>
        </is>
      </c>
      <c r="D5" s="53" t="n">
        <f>'SETUP &amp; INPUTS'!B5</f>
        <v>2026</v>
      </c>
      <c r="E5" s="12" t="n"/>
    </row>
    <row r="6">
      <c r="A6" s="27" t="n"/>
      <c r="B6" s="24" t="inlineStr">
        <is>
          <t>Brandy 'Counts' hours (REPS progress vs 750)</t>
        </is>
      </c>
      <c r="D6" s="25" t="n">
        <f>'HOURS TESTS'!B5</f>
        <v>5.5</v>
      </c>
      <c r="E6" s="12" t="n"/>
    </row>
    <row r="7">
      <c r="A7" s="27" t="n"/>
      <c r="B7" s="24" t="inlineStr">
        <is>
          <t>REPS grade</t>
        </is>
      </c>
      <c r="D7" s="26" t="str">
        <f>'HOURS TESTS'!B9</f>
        <v>NOT YET</v>
      </c>
      <c r="E7" s="12" t="n"/>
    </row>
    <row r="8">
      <c r="A8" s="27" t="n"/>
      <c r="B8" s="24" t="inlineStr">
        <is>
          <t>Business miles</t>
        </is>
      </c>
      <c r="D8" s="25" t="n">
        <f>'MILEAGE SUMMARY'!B5</f>
        <v>40.5</v>
      </c>
      <c r="E8" s="12" t="n"/>
    </row>
    <row r="9">
      <c r="A9" s="27" t="n"/>
      <c r="B9" s="24" t="inlineStr">
        <is>
          <t>Standard mileage deduction</t>
        </is>
      </c>
      <c r="D9" s="39" t="n">
        <f>'MILEAGE SUMMARY'!B10</f>
        <v>29.3625</v>
      </c>
      <c r="E9" s="12" t="n"/>
    </row>
    <row r="10">
      <c r="A10" s="27" t="n"/>
      <c r="B10" s="24" t="inlineStr">
        <is>
          <t>Better home-office deduction (compare — strategist elects)</t>
        </is>
      </c>
      <c r="D10" s="39" t="n">
        <f>MAX('HOME OFFICE &amp; VEHICLE'!B8,'HOME OFFICE &amp; VEHICLE'!B20)</f>
        <v>750</v>
      </c>
      <c r="E10" s="12" t="n"/>
    </row>
    <row r="11">
      <c r="A11" s="27" t="n"/>
      <c r="B11" s="24" t="inlineStr">
        <is>
          <t>Better vehicle deduction (compare — method rules control)</t>
        </is>
      </c>
      <c r="D11" s="39" t="n">
        <f>'HOME OFFICE &amp; VEHICLE'!B37</f>
        <v>29.3625</v>
      </c>
      <c r="E11" s="12" t="n"/>
    </row>
    <row r="12">
      <c r="A12" s="27" t="n"/>
      <c r="B12" s="24" t="inlineStr">
        <is>
          <t>Kids' wages deducted</t>
        </is>
      </c>
      <c r="D12" s="39" t="n">
        <f>'KIDS &amp; AUGUSTA'!F12</f>
        <v>1800</v>
      </c>
      <c r="E12" s="12" t="n"/>
    </row>
    <row r="13">
      <c r="A13" s="27" t="n"/>
      <c r="B13" s="24" t="inlineStr">
        <is>
          <t>Augusta tax-free rent (days x rate)</t>
        </is>
      </c>
      <c r="D13" s="39" t="n">
        <f>'KIDS &amp; AUGUSTA'!B22</f>
        <v>0</v>
      </c>
      <c r="E13" s="12" t="n"/>
    </row>
    <row r="15">
      <c r="A15" s="54" t="n"/>
      <c r="B15" s="23" t="inlineStr">
        <is>
          <t>HAND-OFF CHECKLIST</t>
        </is>
      </c>
    </row>
    <row r="16">
      <c r="A16" s="6" t="inlineStr">
        <is>
          <t>Done?</t>
        </is>
      </c>
      <c r="B16" s="6" t="inlineStr">
        <is>
          <t>Document / decision</t>
        </is>
      </c>
      <c r="C16" s="6" t="n"/>
      <c r="D16" s="6" t="inlineStr">
        <is>
          <t>Status</t>
        </is>
      </c>
      <c r="E16" s="6" t="inlineStr">
        <is>
          <t>Notes</t>
        </is>
      </c>
    </row>
    <row r="17" ht="28" customHeight="1">
      <c r="A17" s="8" t="n"/>
      <c r="B17" s="4" t="inlineStr">
        <is>
          <t>This workbook (Hours Log + Mileage Log complete through Dec 31)</t>
        </is>
      </c>
      <c r="D17" s="8" t="n"/>
      <c r="E17" s="27" t="n"/>
    </row>
    <row r="18" ht="28" customHeight="1">
      <c r="A18" s="8" t="n"/>
      <c r="B18" s="4" t="inlineStr">
        <is>
          <t>Jan 1 and Dec 31 odometer photos for every vehicle</t>
        </is>
      </c>
      <c r="D18" s="8" t="n"/>
      <c r="E18" s="27" t="n"/>
    </row>
    <row r="19" ht="28" customHeight="1">
      <c r="A19" s="8" t="n"/>
      <c r="B19" s="4" t="inlineStr">
        <is>
          <t>MileIQ annual report (classified) exported and filed</t>
        </is>
      </c>
      <c r="D19" s="8" t="n"/>
      <c r="E19" s="27" t="n"/>
    </row>
    <row r="20" ht="28" customHeight="1">
      <c r="A20" s="8" t="n"/>
      <c r="B20" s="4" t="inlineStr">
        <is>
          <t>Brandy's outside-job hours proof (pay stubs / employer letter) for the &gt;50% test</t>
        </is>
      </c>
      <c r="D20" s="8" t="n"/>
      <c r="E20" s="27" t="n"/>
    </row>
    <row r="21" ht="28" customHeight="1">
      <c r="A21" s="8" t="n"/>
      <c r="B21" s="4" t="inlineStr">
        <is>
          <t>REPS grouping election decision — made with the strategist, statement prepared for the return</t>
        </is>
      </c>
      <c r="D21" s="8" t="n"/>
      <c r="E21" s="27" t="n"/>
    </row>
    <row r="22" ht="28" customHeight="1">
      <c r="A22" s="8" t="n"/>
      <c r="B22" s="4" t="inlineStr">
        <is>
          <t>Cost-segregation study report(s) + placed-in-service proof for any new property</t>
        </is>
      </c>
      <c r="D22" s="8" t="n"/>
      <c r="E22" s="27" t="n"/>
    </row>
    <row r="23" ht="28" customHeight="1">
      <c r="A23" s="8" t="n"/>
      <c r="B23" s="4" t="inlineStr">
        <is>
          <t>Per-property P&amp;L / ledger export (FORGE Rental Manager) for every property</t>
        </is>
      </c>
      <c r="D23" s="8" t="n"/>
      <c r="E23" s="27" t="n"/>
    </row>
    <row r="24" ht="28" customHeight="1">
      <c r="A24" s="8" t="n"/>
      <c r="B24" s="4" t="inlineStr">
        <is>
          <t>Closing statements for anything bought or sold; QI paperwork + Form 8824 draft for any 1031</t>
        </is>
      </c>
      <c r="D24" s="8" t="n"/>
      <c r="E24" s="27" t="n"/>
    </row>
    <row r="25" ht="28" customHeight="1">
      <c r="A25" s="8" t="n"/>
      <c r="B25" s="4" t="inlineStr">
        <is>
          <t>Home-office worksheet (this file) + home expense receipts; office sq-ft sketch/photo</t>
        </is>
      </c>
      <c r="D25" s="8" t="n"/>
      <c r="E25" s="27" t="n"/>
    </row>
    <row r="26" ht="28" customHeight="1">
      <c r="A26" s="8" t="n"/>
      <c r="B26" s="4" t="inlineStr">
        <is>
          <t>Kids: timesheets, job descriptions, payroll register, W-2s, Roth IRA statements</t>
        </is>
      </c>
      <c r="D26" s="8" t="n"/>
      <c r="E26" s="27" t="n"/>
    </row>
    <row r="27" ht="28" customHeight="1">
      <c r="A27" s="8" t="n"/>
      <c r="B27" s="4" t="inlineStr">
        <is>
          <t>Augusta: rental agreement, market-rent comps, minutes, invoices, proof of payment (&lt;=14 days)</t>
        </is>
      </c>
      <c r="D27" s="8" t="n"/>
      <c r="E27" s="27" t="n"/>
    </row>
    <row r="28" ht="28" customHeight="1">
      <c r="A28" s="8" t="n"/>
      <c r="B28" s="4" t="inlineStr">
        <is>
          <t>House-hack: allocation worksheet (personal vs rental %) and per-unit expense buckets</t>
        </is>
      </c>
      <c r="D28" s="8" t="n"/>
      <c r="E28" s="27" t="n"/>
    </row>
    <row r="29" ht="28" customHeight="1">
      <c r="A29" s="8" t="n"/>
      <c r="B29" s="4" t="inlineStr">
        <is>
          <t>Loan statements (borrow-against-equity planning: proceeds are not income; track basis and debt separately)</t>
        </is>
      </c>
      <c r="D29" s="8" t="n"/>
      <c r="E29" s="27" t="n"/>
    </row>
    <row r="30" ht="28" customHeight="1">
      <c r="A30" s="8" t="n"/>
      <c r="B30" s="4" t="inlineStr">
        <is>
          <t>Questions list for the strategist (elections to make, entity changes, next year's purchases timed for placed-in-service)</t>
        </is>
      </c>
      <c r="D30" s="8" t="n"/>
      <c r="E30" s="27" t="n"/>
    </row>
  </sheetData>
  <mergeCells count="26">
    <mergeCell ref="B7:C7"/>
    <mergeCell ref="B25:C25"/>
    <mergeCell ref="B15:E15"/>
    <mergeCell ref="B22:C22"/>
    <mergeCell ref="A1:E1"/>
    <mergeCell ref="B18:C18"/>
    <mergeCell ref="B27:C27"/>
    <mergeCell ref="B12:C12"/>
    <mergeCell ref="B21:C21"/>
    <mergeCell ref="B11:C11"/>
    <mergeCell ref="B23:C23"/>
    <mergeCell ref="B17:C17"/>
    <mergeCell ref="B8:C8"/>
    <mergeCell ref="B13:C13"/>
    <mergeCell ref="B29:C29"/>
    <mergeCell ref="A2:E2"/>
    <mergeCell ref="B19:C19"/>
    <mergeCell ref="B10:C10"/>
    <mergeCell ref="B28:C28"/>
    <mergeCell ref="B9:C9"/>
    <mergeCell ref="B6:C6"/>
    <mergeCell ref="B24:C24"/>
    <mergeCell ref="B30:C30"/>
    <mergeCell ref="B5:C5"/>
    <mergeCell ref="B20:C20"/>
    <mergeCell ref="B26:C26"/>
  </mergeCells>
  <dataValidations count="2">
    <dataValidation sqref="A17:A30" showDropDown="0" showInputMessage="0" showErrorMessage="0" allowBlank="1" type="list">
      <formula1>"Done,—"</formula1>
    </dataValidation>
    <dataValidation sqref="D17:D30" showDropDown="0" showInputMessage="0" showErrorMessage="0" allowBlank="1" type="list">
      <formula1>"Ready,In progress,Waiting,NA"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FORGE Rental Manager</dc:creator>
  <dc:title xmlns:dc="http://purl.org/dc/elements/1.1/">Hours and Mileage Tracker — Rental Tax Strategies</dc:title>
  <dcterms:created xmlns:dcterms="http://purl.org/dc/terms/" xmlns:xsi="http://www.w3.org/2001/XMLSchema-instance" xsi:type="dcterms:W3CDTF">2026-10-10T05:34:56+00:00Z</dcterms:created>
  <dcterms:modified xmlns:dcterms="http://purl.org/dc/terms/" xmlns:xsi="http://www.w3.org/2001/XMLSchema-instance" xsi:type="dcterms:W3CDTF">2026-10-10T05:34:56+00:00Z</dcterms:modified>
</cp:coreProperties>
</file>